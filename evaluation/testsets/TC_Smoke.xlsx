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50" customWidth="1" min="4" max="4"/>
    <col width="30" customWidth="1" min="5" max="5"/>
    <col width="8" customWidth="1" min="6" max="6"/>
    <col width="25" customWidth="1" min="7" max="7"/>
    <col width="30" customWidth="1" min="8" max="8"/>
    <col width="10" customWidth="1" min="9" max="9"/>
    <col width="14" customWidth="1" min="10" max="10"/>
    <col width="10" customWidth="1" min="11" max="11"/>
    <col width="30" customWidth="1" min="12" max="12"/>
    <col width="30" customWidth="1" min="13" max="13"/>
    <col width="30" customWidth="1" min="14" max="14"/>
    <col width="14" customWidth="1" min="15" max="15"/>
    <col width="12" customWidth="1" min="16" max="1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Expected Answer</t>
        </is>
      </c>
      <c r="E1" s="1" t="inlineStr">
        <is>
          <t>Evidence</t>
        </is>
      </c>
      <c r="F1" s="1" t="inlineStr">
        <is>
          <t>Source Page</t>
        </is>
      </c>
      <c r="G1" s="1" t="inlineStr">
        <is>
          <t>Source Section</t>
        </is>
      </c>
      <c r="H1" s="1" t="inlineStr">
        <is>
          <t>Required Keywords / Key Concepts</t>
        </is>
      </c>
      <c r="I1" s="1" t="inlineStr">
        <is>
          <t>Retrieval Difficulty</t>
        </is>
      </c>
      <c r="J1" s="1" t="inlineStr">
        <is>
          <t>Expected Retrieval Type</t>
        </is>
      </c>
      <c r="K1" s="1" t="inlineStr">
        <is>
          <t>Is Answerable</t>
        </is>
      </c>
      <c r="L1" s="1" t="inlineStr">
        <is>
          <t>Expected Behavior</t>
        </is>
      </c>
      <c r="M1" s="1" t="inlineStr">
        <is>
          <t>Notes</t>
        </is>
      </c>
      <c r="N1" s="1" t="inlineStr">
        <is>
          <t>Forbidden Keywords</t>
        </is>
      </c>
      <c r="O1" s="1" t="inlineStr">
        <is>
          <t>Reviewed By</t>
        </is>
      </c>
      <c r="P1" s="1" t="inlineStr">
        <is>
          <t>Reviewed Date</t>
        </is>
      </c>
    </row>
    <row r="2">
      <c r="A2" s="2" t="inlineStr">
        <is>
          <t>SMK_A_001</t>
        </is>
      </c>
      <c r="B2" s="2" t="inlineStr">
        <is>
          <t>Definition</t>
        </is>
      </c>
      <c r="C2" s="2" t="inlineStr">
        <is>
          <t>Theo giáo trình, đối tượng điều chỉnh của Luật lao động gồm những nhóm quan hệ nào?</t>
        </is>
      </c>
      <c r="D2" s="2" t="inlineStr">
        <is>
          <t>Gồm quan hệ lao động và các quan hệ liên quan chặt chẽ hoặc phát sinh từ quan hệ lao động.</t>
        </is>
      </c>
      <c r="E2" s="2" t="inlineStr">
        <is>
          <t>Căn cứ: phần “Bài 1 - Đối tượng điều chỉnh”, trang 3. 
Nội dung được tài liệu xác nhận: Gồm quan hệ lao động và các quan hệ liên quan chặt chẽ hoặc phát sinh từ quan hệ lao động.</t>
        </is>
      </c>
      <c r="F2" s="2" t="n">
        <v>3</v>
      </c>
      <c r="G2" s="2" t="inlineStr">
        <is>
          <t>Bài 1 - Đối tượng điều chỉnh</t>
        </is>
      </c>
      <c r="H2" s="2" t="inlineStr">
        <is>
          <t>quan hệ lao động | quan hệ liên quan</t>
        </is>
      </c>
      <c r="I2" s="2" t="inlineStr">
        <is>
          <t>Easy</t>
        </is>
      </c>
      <c r="J2" s="2" t="inlineStr">
        <is>
          <t>Single Chunk</t>
        </is>
      </c>
      <c r="K2" s="2" t="inlineStr">
        <is>
          <t>Yes</t>
        </is>
      </c>
      <c r="L2" s="2" t="inlineStr">
        <is>
          <t>Answer from document</t>
        </is>
      </c>
      <c r="M2" s="2">
        <f> LAW_A_001</f>
        <v/>
      </c>
      <c r="N2" s="2" t="inlineStr"/>
      <c r="O2" s="2" t="inlineStr"/>
      <c r="P2" s="2" t="inlineStr"/>
    </row>
    <row r="3">
      <c r="A3" s="2" t="inlineStr">
        <is>
          <t>SMK_A_002</t>
        </is>
      </c>
      <c r="B3" s="2" t="inlineStr">
        <is>
          <t>Definition</t>
        </is>
      </c>
      <c r="C3" s="2" t="inlineStr">
        <is>
          <t>Quan hệ lao động được giáo trình mô tả là gì?</t>
        </is>
      </c>
      <c r="D3" s="2" t="inlineStr">
        <is>
          <t>Là quan hệ giữa con người với con người trong lao động nhằm tạo ra các giá trị vật chất, tinh thần phục vụ bản thân và xã hội.</t>
        </is>
      </c>
      <c r="E3" s="2" t="inlineStr">
        <is>
          <t>Căn cứ: phần “Bài 1 - Quan hệ lao động”, trang 3. 
Nội dung được tài liệu xác nhận: Là quan hệ giữa con người với con người trong lao động nhằm tạo ra các giá trị vật chất, tinh thần phục vụ bản thân và xã hội.</t>
        </is>
      </c>
      <c r="F3" s="2" t="n">
        <v>3</v>
      </c>
      <c r="G3" s="2" t="inlineStr">
        <is>
          <t>Bài 1 - Quan hệ lao động</t>
        </is>
      </c>
      <c r="H3" s="2" t="inlineStr">
        <is>
          <t>lao động | giá trị vật chất | tinh thần</t>
        </is>
      </c>
      <c r="I3" s="2" t="inlineStr">
        <is>
          <t>Easy</t>
        </is>
      </c>
      <c r="J3" s="2" t="inlineStr">
        <is>
          <t>Single Chunk</t>
        </is>
      </c>
      <c r="K3" s="2" t="inlineStr">
        <is>
          <t>Yes</t>
        </is>
      </c>
      <c r="L3" s="2" t="inlineStr">
        <is>
          <t>Answer from document</t>
        </is>
      </c>
      <c r="M3" s="2">
        <f> LAW_A_002</f>
        <v/>
      </c>
      <c r="N3" s="2" t="inlineStr"/>
      <c r="O3" s="2" t="inlineStr"/>
      <c r="P3" s="2" t="inlineStr"/>
    </row>
    <row r="4">
      <c r="A4" s="2" t="inlineStr">
        <is>
          <t>SMK_B_003</t>
        </is>
      </c>
      <c r="B4" s="2" t="inlineStr">
        <is>
          <t>Direct Fact</t>
        </is>
      </c>
      <c r="C4" s="2" t="inlineStr">
        <is>
          <t>Theo sổ tay, hợp đồng lao động có thể được giao kết bằng lời nói trong trường hợp nào?</t>
        </is>
      </c>
      <c r="D4" s="2" t="inlineStr">
        <is>
          <t>Theo tài liệu, giao kết bằng lời nói áp dụng với công việc tạm thời có thời hạn dưới 03 tháng.</t>
        </is>
      </c>
      <c r="E4" s="2" t="inlineStr">
        <is>
          <t>Căn cứ: phần “Phần I - Hợp đồng lao động”, trang 11. 
Nội dung được tài liệu xác nhận: Theo tài liệu, giao kết bằng lời nói áp dụng với công việc tạm thời có thời hạn dưới 03 tháng.</t>
        </is>
      </c>
      <c r="F4" s="2" t="n">
        <v>11</v>
      </c>
      <c r="G4" s="2" t="inlineStr">
        <is>
          <t>Phần I - Hợp đồng lao động</t>
        </is>
      </c>
      <c r="H4" s="2" t="inlineStr">
        <is>
          <t>lời nói | tạm thời | dưới 03 tháng</t>
        </is>
      </c>
      <c r="I4" s="2" t="inlineStr">
        <is>
          <t>Easy</t>
        </is>
      </c>
      <c r="J4" s="2" t="inlineStr">
        <is>
          <t>Single Chunk</t>
        </is>
      </c>
      <c r="K4" s="2" t="inlineStr">
        <is>
          <t>Yes</t>
        </is>
      </c>
      <c r="L4" s="2" t="inlineStr">
        <is>
          <t>Answer from document</t>
        </is>
      </c>
      <c r="M4" s="2">
        <f> LAW_B_001</f>
        <v/>
      </c>
      <c r="N4" s="2" t="inlineStr"/>
      <c r="O4" s="2" t="inlineStr"/>
      <c r="P4" s="2" t="inlineStr"/>
    </row>
    <row r="5">
      <c r="A5" s="2" t="inlineStr">
        <is>
          <t>SMK_B_004</t>
        </is>
      </c>
      <c r="B5" s="2" t="inlineStr">
        <is>
          <t>Direct Fact</t>
        </is>
      </c>
      <c r="C5" s="2" t="inlineStr">
        <is>
          <t>Sổ tay có đề cập nội dung “khi nào được ký HĐLĐ không xác định thời hạn” ở phần nào?</t>
        </is>
      </c>
      <c r="D5" s="2" t="inlineStr">
        <is>
          <t>Nội dung này nằm trong Phần I - Hợp đồng lao động.</t>
        </is>
      </c>
      <c r="E5" s="2" t="inlineStr">
        <is>
          <t>Căn cứ: phần “Phần I - Hợp đồng lao động”, trang 6. 
Nội dung được tài liệu xác nhận: Nội dung này nằm trong Phần I - Hợp đồng lao động.</t>
        </is>
      </c>
      <c r="F5" s="2" t="n">
        <v>6</v>
      </c>
      <c r="G5" s="2" t="inlineStr">
        <is>
          <t>Phần I - Hợp đồng lao động</t>
        </is>
      </c>
      <c r="H5" s="2" t="inlineStr">
        <is>
          <t>HĐLĐ không xác định thời hạn</t>
        </is>
      </c>
      <c r="I5" s="2" t="inlineStr">
        <is>
          <t>Easy</t>
        </is>
      </c>
      <c r="J5" s="2" t="inlineStr">
        <is>
          <t>Single Chunk</t>
        </is>
      </c>
      <c r="K5" s="2" t="inlineStr">
        <is>
          <t>Yes</t>
        </is>
      </c>
      <c r="L5" s="2" t="inlineStr">
        <is>
          <t>Answer from document</t>
        </is>
      </c>
      <c r="M5" s="2">
        <f> LAW_B_003</f>
        <v/>
      </c>
      <c r="N5" s="2" t="inlineStr"/>
      <c r="O5" s="2" t="inlineStr"/>
      <c r="P5" s="2" t="inlineStr"/>
    </row>
    <row r="6">
      <c r="A6" s="2" t="inlineStr">
        <is>
          <t>SMK_C_005</t>
        </is>
      </c>
      <c r="B6" s="2" t="inlineStr">
        <is>
          <t>Direct Fact</t>
        </is>
      </c>
      <c r="C6" s="2" t="inlineStr">
        <is>
          <t>Nghị định nào trong mục lục quy định chi tiết về hợp đồng lao động?</t>
        </is>
      </c>
      <c r="D6" s="2" t="inlineStr">
        <is>
          <t>Nghị định số 44/2013/NĐ-CP ngày 10/05/2013.</t>
        </is>
      </c>
      <c r="E6" s="2" t="inlineStr">
        <is>
          <t>Căn cứ: phần “Mục lục”, trang 4. Nội dung được tài liệu xác nhận: Nghị định số 44/2013/NĐ-CP ngày 10/05/2013.</t>
        </is>
      </c>
      <c r="F6" s="2" t="n">
        <v>4</v>
      </c>
      <c r="G6" s="2" t="inlineStr">
        <is>
          <t>Mục lục</t>
        </is>
      </c>
      <c r="H6" s="2" t="inlineStr">
        <is>
          <t>44/2013/NĐ-CP | hợp đồng lao động</t>
        </is>
      </c>
      <c r="I6" s="2" t="inlineStr">
        <is>
          <t>Easy</t>
        </is>
      </c>
      <c r="J6" s="2" t="inlineStr">
        <is>
          <t>Single Chunk</t>
        </is>
      </c>
      <c r="K6" s="2" t="inlineStr">
        <is>
          <t>Yes</t>
        </is>
      </c>
      <c r="L6" s="2" t="inlineStr">
        <is>
          <t>Answer from document</t>
        </is>
      </c>
      <c r="M6" s="2">
        <f> LAW_C_006</f>
        <v/>
      </c>
      <c r="N6" s="2" t="inlineStr"/>
      <c r="O6" s="2" t="inlineStr"/>
      <c r="P6" s="2" t="inlineStr"/>
    </row>
    <row r="7">
      <c r="A7" s="2" t="inlineStr">
        <is>
          <t>SMK_C_006</t>
        </is>
      </c>
      <c r="B7" s="2" t="inlineStr">
        <is>
          <t>Direct Fact</t>
        </is>
      </c>
      <c r="C7" s="2" t="inlineStr">
        <is>
          <t>Nghị định nào trong mục lục liên quan đến tranh chấp lao động?</t>
        </is>
      </c>
      <c r="D7" s="2" t="inlineStr">
        <is>
          <t>Nghị định số 46/2013/NĐ-CP ngày 10/05/2013.</t>
        </is>
      </c>
      <c r="E7" s="2" t="inlineStr">
        <is>
          <t>Căn cứ: phần “Mục lục”, trang 4. Nội dung được tài liệu xác nhận: Nghị định số 46/2013/NĐ-CP ngày 10/05/2013.</t>
        </is>
      </c>
      <c r="F7" s="2" t="n">
        <v>4</v>
      </c>
      <c r="G7" s="2" t="inlineStr">
        <is>
          <t>Mục lục</t>
        </is>
      </c>
      <c r="H7" s="2" t="inlineStr">
        <is>
          <t>46/2013/NĐ-CP | tranh chấp lao động</t>
        </is>
      </c>
      <c r="I7" s="2" t="inlineStr">
        <is>
          <t>Easy</t>
        </is>
      </c>
      <c r="J7" s="2" t="inlineStr">
        <is>
          <t>Single Chunk</t>
        </is>
      </c>
      <c r="K7" s="2" t="inlineStr">
        <is>
          <t>Yes</t>
        </is>
      </c>
      <c r="L7" s="2" t="inlineStr">
        <is>
          <t>Answer from document</t>
        </is>
      </c>
      <c r="M7" s="2">
        <f> LAW_C_007</f>
        <v/>
      </c>
      <c r="N7" s="2" t="inlineStr"/>
      <c r="O7" s="2" t="inlineStr"/>
      <c r="P7" s="2" t="inlineStr"/>
    </row>
    <row r="8">
      <c r="A8" s="2" t="inlineStr">
        <is>
          <t>SMK_D_007</t>
        </is>
      </c>
      <c r="B8" s="2" t="inlineStr">
        <is>
          <t>Direct Fact</t>
        </is>
      </c>
      <c r="C8" s="2" t="inlineStr">
        <is>
          <t>Cẩm nang so sánh chủ yếu hai phiên bản Bộ luật Lao động nào?</t>
        </is>
      </c>
      <c r="D8" s="2" t="inlineStr">
        <is>
          <t>BLLĐ 2012 và BLLĐ 2019.</t>
        </is>
      </c>
      <c r="E8" s="2" t="inlineStr">
        <is>
          <t>Căn cứ: phần “Lời nói đầu”, trang None. Nội dung được tài liệu xác nhận: BLLĐ 2012 và BLLĐ 2019.</t>
        </is>
      </c>
      <c r="F8" s="2" t="n"/>
      <c r="G8" s="2" t="inlineStr">
        <is>
          <t>Lời nói đầu</t>
        </is>
      </c>
      <c r="H8" s="2" t="inlineStr">
        <is>
          <t>BLLĐ 2012 | BLLĐ 2019</t>
        </is>
      </c>
      <c r="I8" s="2" t="inlineStr">
        <is>
          <t>Easy</t>
        </is>
      </c>
      <c r="J8" s="2" t="inlineStr">
        <is>
          <t>Single Chunk</t>
        </is>
      </c>
      <c r="K8" s="2" t="inlineStr">
        <is>
          <t>Yes</t>
        </is>
      </c>
      <c r="L8" s="2" t="inlineStr">
        <is>
          <t>Answer from document</t>
        </is>
      </c>
      <c r="M8" s="2">
        <f> LAW_D_002</f>
        <v/>
      </c>
      <c r="N8" s="2" t="inlineStr"/>
      <c r="O8" s="2" t="inlineStr"/>
      <c r="P8" s="2" t="inlineStr"/>
    </row>
    <row r="9">
      <c r="A9" s="2" t="inlineStr">
        <is>
          <t>SMK_D_008</t>
        </is>
      </c>
      <c r="B9" s="2" t="inlineStr">
        <is>
          <t>List</t>
        </is>
      </c>
      <c r="C9" s="2" t="inlineStr">
        <is>
          <t>Cẩm nang tập trung vào những nhóm nội dung chính nào?</t>
        </is>
      </c>
      <c r="D9" s="2" t="inlineStr">
        <is>
          <t>Gồm quan hệ/HĐLĐ, chấm dứt HĐLĐ, tiền lương, nghỉ lễ-tết và làm thêm giờ, nghỉ hưu, lao động nữ, kỷ luật lao động; đồng thời có đối thoại và thương lượng tập thể.</t>
        </is>
      </c>
      <c r="E9" s="2" t="inlineStr">
        <is>
          <t>Căn cứ: phần “Lời nói đầu/Mục lục”, trang 4. Nội dung được tài liệu xác nhận: Gồm quan hệ/HĐLĐ, chấm dứt HĐLĐ, tiền lương, nghỉ lễ-tết và làm thêm giờ, nghỉ hưu, lao động nữ, kỷ luật lao động; đồng thời có đối thoại và thương lượng tập thể.</t>
        </is>
      </c>
      <c r="F9" s="2" t="n">
        <v>4</v>
      </c>
      <c r="G9" s="2" t="inlineStr">
        <is>
          <t>Lời nói đầu/Mục lục</t>
        </is>
      </c>
      <c r="H9" s="2" t="inlineStr">
        <is>
          <t>HĐLĐ | chấm dứt | tiền lương | làm thêm | nghỉ hưu | lao động nữ | kỷ luật</t>
        </is>
      </c>
      <c r="I9" s="2" t="inlineStr">
        <is>
          <t>Easy</t>
        </is>
      </c>
      <c r="J9" s="2" t="inlineStr">
        <is>
          <t>Single Chunk</t>
        </is>
      </c>
      <c r="K9" s="2" t="inlineStr">
        <is>
          <t>Yes</t>
        </is>
      </c>
      <c r="L9" s="2" t="inlineStr">
        <is>
          <t>Answer from document</t>
        </is>
      </c>
      <c r="M9" s="2">
        <f> LAW_D_003</f>
        <v/>
      </c>
      <c r="N9" s="2" t="inlineStr"/>
      <c r="O9" s="2" t="inlineStr"/>
      <c r="P9" s="2" t="inlineStr"/>
    </row>
    <row r="10">
      <c r="A10" s="2" t="inlineStr">
        <is>
          <t>SMK_E_009</t>
        </is>
      </c>
      <c r="B10" s="2" t="inlineStr">
        <is>
          <t>Definition</t>
        </is>
      </c>
      <c r="C10" s="2" t="inlineStr">
        <is>
          <t>Theo Điều 3, người lao động được định nghĩa như thế nào?</t>
        </is>
      </c>
      <c r="D10" s="2" t="inlineStr">
        <is>
          <t>Là người làm việc cho NSDLĐ theo thỏa thuận, được trả lương và chịu sự quản lý, điều hành, giám sát của NSDLĐ.</t>
        </is>
      </c>
      <c r="E10" s="2" t="inlineStr">
        <is>
          <t>Căn cứ: phần “Điều 3”, trang 2. Nội dung được tài liệu xác nhận: Là người làm việc cho NSDLĐ theo thỏa thuận, được trả lương và chịu sự quản lý, điều hành, giám sát của NSDLĐ.</t>
        </is>
      </c>
      <c r="F10" s="2" t="n">
        <v>2</v>
      </c>
      <c r="G10" s="2" t="inlineStr">
        <is>
          <t>Điều 3</t>
        </is>
      </c>
      <c r="H10" s="2" t="inlineStr">
        <is>
          <t>thỏa thuận | trả lương | quản lý | điều hành | giám sát</t>
        </is>
      </c>
      <c r="I10" s="2" t="inlineStr">
        <is>
          <t>Easy</t>
        </is>
      </c>
      <c r="J10" s="2" t="inlineStr">
        <is>
          <t>Single Chunk</t>
        </is>
      </c>
      <c r="K10" s="2" t="inlineStr">
        <is>
          <t>Yes</t>
        </is>
      </c>
      <c r="L10" s="2" t="inlineStr">
        <is>
          <t>Answer from document</t>
        </is>
      </c>
      <c r="M10" s="2">
        <f> LAW_E_002</f>
        <v/>
      </c>
      <c r="N10" s="2" t="inlineStr"/>
      <c r="O10" s="2" t="inlineStr"/>
      <c r="P10" s="2" t="inlineStr"/>
    </row>
    <row r="11">
      <c r="A11" s="2" t="inlineStr">
        <is>
          <t>SMK_E_010</t>
        </is>
      </c>
      <c r="B11" s="2" t="inlineStr">
        <is>
          <t>Definition</t>
        </is>
      </c>
      <c r="C11" s="2" t="inlineStr">
        <is>
          <t>Quan hệ lao động bao gồm những loại nào?</t>
        </is>
      </c>
      <c r="D11" s="2" t="inlineStr">
        <is>
          <t>Bao gồm quan hệ lao động cá nhân và quan hệ lao động tập thể.</t>
        </is>
      </c>
      <c r="E11" s="2" t="inlineStr">
        <is>
          <t>Căn cứ: phần “Điều 3”, trang None. Nội dung được tài liệu xác nhận: Bao gồm quan hệ lao động cá nhân và quan hệ lao động tập thể.</t>
        </is>
      </c>
      <c r="F11" s="2" t="n"/>
      <c r="G11" s="2" t="inlineStr">
        <is>
          <t>Điều 3</t>
        </is>
      </c>
      <c r="H11" s="2" t="inlineStr">
        <is>
          <t>cá nhân | tập thể</t>
        </is>
      </c>
      <c r="I11" s="2" t="inlineStr">
        <is>
          <t>Easy</t>
        </is>
      </c>
      <c r="J11" s="2" t="inlineStr">
        <is>
          <t>Single Chunk</t>
        </is>
      </c>
      <c r="K11" s="2" t="inlineStr">
        <is>
          <t>Yes</t>
        </is>
      </c>
      <c r="L11" s="2" t="inlineStr">
        <is>
          <t>Answer from document</t>
        </is>
      </c>
      <c r="M11" s="2">
        <f> LAW_E_004</f>
        <v/>
      </c>
      <c r="N11" s="2" t="inlineStr"/>
      <c r="O11" s="2" t="inlineStr"/>
      <c r="P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Change</t>
        </is>
      </c>
      <c r="D1" t="inlineStr">
        <is>
          <t>By</t>
        </is>
      </c>
    </row>
    <row r="2">
      <c r="A2" t="inlineStr">
        <is>
          <t>v0.1-draft</t>
        </is>
      </c>
      <c r="B2" t="inlineStr"/>
      <c r="C2" t="inlineStr">
        <is>
          <t>Generated by evaluation/build_tc_sets.py; waiting for SME review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2026-10-20T08:44:58Z</dcterms:created>
  <dcterms:modified xmlns:dcterms="http://purl.org/dc/terms/" xmlns:xsi="http://www.w3.org/2001/XMLSchema-instance" xsi:type="dcterms:W3CDTF">2026-10-20T08:44:58Z</dcterms:modified>
</cp:coreProperties>
</file>