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Defects" sheetId="3" state="visible" r:id="rId3"/>
    <sheet xmlns:r="http://schemas.openxmlformats.org/officeDocument/2006/relationships" name="Environment" sheetId="4" state="visible" r:id="rId4"/>
  </sheets>
  <definedNames>
    <definedName name="_xlnm._FilterDatabase" localSheetId="1" hidden="1">'Results'!$A$1:$AF$21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1" fillId="2" borderId="0" applyAlignment="1" pivotButton="0" quotePrefix="0" xfId="0">
      <alignment vertical="center" wrapText="1"/>
    </xf>
    <xf numFmtId="164" fontId="0" fillId="0" borderId="0" pivotButton="0" quotePrefix="0" xfId="0"/>
    <xf numFmtId="0" fontId="3" fillId="0" borderId="0" pivotButton="0" quotePrefix="0" xfId="0"/>
    <xf numFmtId="9" fontId="0" fillId="0" borderId="0" pivotButton="0" quotePrefix="0" xfId="0"/>
    <xf numFmtId="0" fontId="0" fillId="0" borderId="0" applyAlignment="1" pivotButton="0" quotePrefix="0" xfId="0">
      <alignment vertical="top" wrapText="1"/>
    </xf>
    <xf numFmtId="9" fontId="0" fillId="0" borderId="0" applyAlignment="1" pivotButton="0" quotePrefix="0" xfId="0">
      <alignment vertical="top" wrapText="1"/>
    </xf>
  </cellXfs>
  <cellStyles count="1">
    <cellStyle name="Normal" xfId="0" builtinId="0" hidden="0"/>
  </cellStyles>
  <dxfs count="4">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48"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TC_LuatLD — Test Summary</t>
        </is>
      </c>
    </row>
    <row r="2">
      <c r="A2" t="inlineStr">
        <is>
          <t>Effective Status = Final Status (tester) nếu đã điền, nếu không = Suggested Status (tự động).</t>
        </is>
      </c>
    </row>
    <row r="4">
      <c r="A4" s="2" t="inlineStr">
        <is>
          <t>Status</t>
        </is>
      </c>
      <c r="B4" s="2" t="inlineStr">
        <is>
          <t>Count</t>
        </is>
      </c>
      <c r="C4" s="2" t="inlineStr">
        <is>
          <t>Rate</t>
        </is>
      </c>
    </row>
    <row r="5">
      <c r="A5" t="inlineStr">
        <is>
          <t>PASS</t>
        </is>
      </c>
      <c r="B5">
        <f>COUNTIF(Results!$AD$2:$AD$21,"PASS")</f>
        <v/>
      </c>
      <c r="C5" s="3">
        <f>B5/20</f>
        <v/>
      </c>
    </row>
    <row r="6">
      <c r="A6" t="inlineStr">
        <is>
          <t>PARTIAL</t>
        </is>
      </c>
      <c r="B6">
        <f>COUNTIF(Results!$AD$2:$AD$21,"PARTIAL")</f>
        <v/>
      </c>
      <c r="C6" s="3">
        <f>B6/20</f>
        <v/>
      </c>
    </row>
    <row r="7">
      <c r="A7" t="inlineStr">
        <is>
          <t>FAIL</t>
        </is>
      </c>
      <c r="B7">
        <f>COUNTIF(Results!$AD$2:$AD$21,"FAIL")</f>
        <v/>
      </c>
      <c r="C7" s="3">
        <f>B7/20</f>
        <v/>
      </c>
    </row>
    <row r="8">
      <c r="A8" t="inlineStr">
        <is>
          <t>BLOCKED</t>
        </is>
      </c>
      <c r="B8">
        <f>COUNTIF(Results!$AD$2:$AD$21,"BLOCKED")</f>
        <v/>
      </c>
      <c r="C8" s="3">
        <f>B8/20</f>
        <v/>
      </c>
    </row>
    <row r="9">
      <c r="A9" t="inlineStr">
        <is>
          <t>Total</t>
        </is>
      </c>
      <c r="B9">
        <f>SUM(B5:B8)</f>
        <v/>
      </c>
    </row>
    <row r="10">
      <c r="A10" t="inlineStr">
        <is>
          <t>Reviewed by tester</t>
        </is>
      </c>
      <c r="B10">
        <f>COUNTA(Results!AC2:AC21)</f>
        <v/>
      </c>
    </row>
    <row r="11">
      <c r="A11" t="inlineStr">
        <is>
          <t>Median latency (s)</t>
        </is>
      </c>
      <c r="B11" t="n">
        <v>17.2</v>
      </c>
    </row>
    <row r="13">
      <c r="A13" s="4" t="inlineStr">
        <is>
          <t>Theo tài liệu</t>
        </is>
      </c>
    </row>
    <row r="14">
      <c r="A14" s="2" t="inlineStr">
        <is>
          <t>Document</t>
        </is>
      </c>
      <c r="B14" s="2" t="inlineStr">
        <is>
          <t>Total</t>
        </is>
      </c>
      <c r="C14" s="2" t="inlineStr">
        <is>
          <t>PASS</t>
        </is>
      </c>
      <c r="D14" s="2" t="inlineStr">
        <is>
          <t>PARTIAL</t>
        </is>
      </c>
      <c r="E14" s="2" t="inlineStr">
        <is>
          <t>FAIL</t>
        </is>
      </c>
      <c r="F14" s="2" t="inlineStr">
        <is>
          <t>BLOCKED</t>
        </is>
      </c>
      <c r="G14" s="2" t="inlineStr">
        <is>
          <t>Pass rate</t>
        </is>
      </c>
    </row>
    <row r="15">
      <c r="A15" t="inlineStr">
        <is>
          <t>giao trinh Luat lao dong CB 2005 (1)</t>
        </is>
      </c>
      <c r="B15">
        <f>COUNTIF(Results!$Q$2:$Q$21,A15)</f>
        <v/>
      </c>
      <c r="C15">
        <f>COUNTIFS(Results!$Q$2:$Q$21,A15,Results!$AD$2:$AD$21,"PASS")</f>
        <v/>
      </c>
      <c r="D15">
        <f>COUNTIFS(Results!$Q$2:$Q$21,A15,Results!$AD$2:$AD$21,"PARTIAL")</f>
        <v/>
      </c>
      <c r="E15">
        <f>COUNTIFS(Results!$Q$2:$Q$21,A15,Results!$AD$2:$AD$21,"FAIL")</f>
        <v/>
      </c>
      <c r="F15">
        <f>COUNTIFS(Results!$Q$2:$Q$21,A15,Results!$AD$2:$AD$21,"BLOCKED")</f>
        <v/>
      </c>
      <c r="G15">
        <f>IF(B15=0,0,C15/B15)</f>
        <v/>
      </c>
      <c r="H15" s="5" t="n"/>
    </row>
    <row r="16">
      <c r="A16" t="inlineStr">
        <is>
          <t>so-tay-kien-thuc-phap-luat-lao-dong-cdi</t>
        </is>
      </c>
      <c r="B16">
        <f>COUNTIF(Results!$Q$2:$Q$21,A16)</f>
        <v/>
      </c>
      <c r="C16">
        <f>COUNTIFS(Results!$Q$2:$Q$21,A16,Results!$AD$2:$AD$21,"PASS")</f>
        <v/>
      </c>
      <c r="D16">
        <f>COUNTIFS(Results!$Q$2:$Q$21,A16,Results!$AD$2:$AD$21,"PARTIAL")</f>
        <v/>
      </c>
      <c r="E16">
        <f>COUNTIFS(Results!$Q$2:$Q$21,A16,Results!$AD$2:$AD$21,"FAIL")</f>
        <v/>
      </c>
      <c r="F16">
        <f>COUNTIFS(Results!$Q$2:$Q$21,A16,Results!$AD$2:$AD$21,"BLOCKED")</f>
        <v/>
      </c>
      <c r="G16">
        <f>IF(B16=0,0,C16/B16)</f>
        <v/>
      </c>
      <c r="H16" s="5" t="n"/>
    </row>
    <row r="17">
      <c r="A17" t="inlineStr">
        <is>
          <t>luu-ban-nhap-tu-dong-3-4</t>
        </is>
      </c>
      <c r="B17">
        <f>COUNTIF(Results!$Q$2:$Q$21,A17)</f>
        <v/>
      </c>
      <c r="C17">
        <f>COUNTIFS(Results!$Q$2:$Q$21,A17,Results!$AD$2:$AD$21,"PASS")</f>
        <v/>
      </c>
      <c r="D17">
        <f>COUNTIFS(Results!$Q$2:$Q$21,A17,Results!$AD$2:$AD$21,"PARTIAL")</f>
        <v/>
      </c>
      <c r="E17">
        <f>COUNTIFS(Results!$Q$2:$Q$21,A17,Results!$AD$2:$AD$21,"FAIL")</f>
        <v/>
      </c>
      <c r="F17">
        <f>COUNTIFS(Results!$Q$2:$Q$21,A17,Results!$AD$2:$AD$21,"BLOCKED")</f>
        <v/>
      </c>
      <c r="G17">
        <f>IF(B17=0,0,C17/B17)</f>
        <v/>
      </c>
      <c r="H17" s="5" t="n"/>
    </row>
    <row r="18">
      <c r="A18" t="inlineStr">
        <is>
          <t>ILO-VCCI_Labour-Law-Guide-Book-V04-Final</t>
        </is>
      </c>
      <c r="B18">
        <f>COUNTIF(Results!$Q$2:$Q$21,A18)</f>
        <v/>
      </c>
      <c r="C18">
        <f>COUNTIFS(Results!$Q$2:$Q$21,A18,Results!$AD$2:$AD$21,"PASS")</f>
        <v/>
      </c>
      <c r="D18">
        <f>COUNTIFS(Results!$Q$2:$Q$21,A18,Results!$AD$2:$AD$21,"PARTIAL")</f>
        <v/>
      </c>
      <c r="E18">
        <f>COUNTIFS(Results!$Q$2:$Q$21,A18,Results!$AD$2:$AD$21,"FAIL")</f>
        <v/>
      </c>
      <c r="F18">
        <f>COUNTIFS(Results!$Q$2:$Q$21,A18,Results!$AD$2:$AD$21,"BLOCKED")</f>
        <v/>
      </c>
      <c r="G18">
        <f>IF(B18=0,0,C18/B18)</f>
        <v/>
      </c>
      <c r="H18" s="5" t="n"/>
    </row>
    <row r="19">
      <c r="A19" t="inlineStr">
        <is>
          <t>Văn-bản-hợp-nhất-18-VBHN-VPQH</t>
        </is>
      </c>
      <c r="B19">
        <f>COUNTIF(Results!$Q$2:$Q$21,A19)</f>
        <v/>
      </c>
      <c r="C19">
        <f>COUNTIFS(Results!$Q$2:$Q$21,A19,Results!$AD$2:$AD$21,"PASS")</f>
        <v/>
      </c>
      <c r="D19">
        <f>COUNTIFS(Results!$Q$2:$Q$21,A19,Results!$AD$2:$AD$21,"PARTIAL")</f>
        <v/>
      </c>
      <c r="E19">
        <f>COUNTIFS(Results!$Q$2:$Q$21,A19,Results!$AD$2:$AD$21,"FAIL")</f>
        <v/>
      </c>
      <c r="F19">
        <f>COUNTIFS(Results!$Q$2:$Q$21,A19,Results!$AD$2:$AD$21,"BLOCKED")</f>
        <v/>
      </c>
      <c r="G19">
        <f>IF(B19=0,0,C19/B19)</f>
        <v/>
      </c>
      <c r="H19" s="5" t="n"/>
    </row>
    <row r="21">
      <c r="A21" s="4" t="inlineStr">
        <is>
          <t>Theo độ khó</t>
        </is>
      </c>
    </row>
    <row r="22">
      <c r="A22" s="2" t="inlineStr">
        <is>
          <t>Retrieval Difficulty</t>
        </is>
      </c>
      <c r="B22" s="2" t="inlineStr">
        <is>
          <t>Total</t>
        </is>
      </c>
      <c r="C22" s="2" t="inlineStr">
        <is>
          <t>PASS</t>
        </is>
      </c>
      <c r="D22" s="2" t="inlineStr">
        <is>
          <t>PARTIAL</t>
        </is>
      </c>
      <c r="E22" s="2" t="inlineStr">
        <is>
          <t>FAIL</t>
        </is>
      </c>
      <c r="F22" s="2" t="inlineStr">
        <is>
          <t>BLOCKED</t>
        </is>
      </c>
      <c r="G22" s="2" t="inlineStr">
        <is>
          <t>Pass rate</t>
        </is>
      </c>
      <c r="H22" s="2" t="n"/>
    </row>
    <row r="23">
      <c r="A23" t="inlineStr">
        <is>
          <t>Hard</t>
        </is>
      </c>
      <c r="B23">
        <f>COUNTIF(Results!$I$2:$I$21,A23)</f>
        <v/>
      </c>
      <c r="C23">
        <f>COUNTIFS(Results!$I$2:$I$21,A23,Results!$AD$2:$AD$21,"PASS")</f>
        <v/>
      </c>
      <c r="D23">
        <f>COUNTIFS(Results!$I$2:$I$21,A23,Results!$AD$2:$AD$21,"PARTIAL")</f>
        <v/>
      </c>
      <c r="E23">
        <f>COUNTIFS(Results!$I$2:$I$21,A23,Results!$AD$2:$AD$21,"FAIL")</f>
        <v/>
      </c>
      <c r="F23">
        <f>COUNTIFS(Results!$I$2:$I$21,A23,Results!$AD$2:$AD$21,"BLOCKED")</f>
        <v/>
      </c>
      <c r="G23">
        <f>IF(B23=0,0,C23/B23)</f>
        <v/>
      </c>
      <c r="H23" s="5" t="n"/>
    </row>
    <row r="24">
      <c r="A24" t="inlineStr">
        <is>
          <t>Medium</t>
        </is>
      </c>
      <c r="B24">
        <f>COUNTIF(Results!$I$2:$I$21,A24)</f>
        <v/>
      </c>
      <c r="C24">
        <f>COUNTIFS(Results!$I$2:$I$21,A24,Results!$AD$2:$AD$21,"PASS")</f>
        <v/>
      </c>
      <c r="D24">
        <f>COUNTIFS(Results!$I$2:$I$21,A24,Results!$AD$2:$AD$21,"PARTIAL")</f>
        <v/>
      </c>
      <c r="E24">
        <f>COUNTIFS(Results!$I$2:$I$21,A24,Results!$AD$2:$AD$21,"FAIL")</f>
        <v/>
      </c>
      <c r="F24">
        <f>COUNTIFS(Results!$I$2:$I$21,A24,Results!$AD$2:$AD$21,"BLOCKED")</f>
        <v/>
      </c>
      <c r="G24">
        <f>IF(B24=0,0,C24/B24)</f>
        <v/>
      </c>
      <c r="H24" s="5" t="n"/>
    </row>
    <row r="25">
      <c r="A25" t="inlineStr">
        <is>
          <t>Easy</t>
        </is>
      </c>
      <c r="B25">
        <f>COUNTIF(Results!$I$2:$I$21,A25)</f>
        <v/>
      </c>
      <c r="C25">
        <f>COUNTIFS(Results!$I$2:$I$21,A25,Results!$AD$2:$AD$21,"PASS")</f>
        <v/>
      </c>
      <c r="D25">
        <f>COUNTIFS(Results!$I$2:$I$21,A25,Results!$AD$2:$AD$21,"PARTIAL")</f>
        <v/>
      </c>
      <c r="E25">
        <f>COUNTIFS(Results!$I$2:$I$21,A25,Results!$AD$2:$AD$21,"FAIL")</f>
        <v/>
      </c>
      <c r="F25">
        <f>COUNTIFS(Results!$I$2:$I$21,A25,Results!$AD$2:$AD$21,"BLOCKED")</f>
        <v/>
      </c>
      <c r="G25">
        <f>IF(B25=0,0,C25/B25)</f>
        <v/>
      </c>
      <c r="H25" s="5" t="n"/>
    </row>
    <row r="27">
      <c r="A27" s="4" t="inlineStr">
        <is>
          <t>Theo loại câu hỏi</t>
        </is>
      </c>
    </row>
    <row r="28">
      <c r="A28" s="2" t="inlineStr">
        <is>
          <t>Category</t>
        </is>
      </c>
      <c r="B28" s="2" t="inlineStr">
        <is>
          <t>Total</t>
        </is>
      </c>
      <c r="C28" s="2" t="inlineStr">
        <is>
          <t>PASS</t>
        </is>
      </c>
      <c r="D28" s="2" t="inlineStr">
        <is>
          <t>PARTIAL</t>
        </is>
      </c>
      <c r="E28" s="2" t="inlineStr">
        <is>
          <t>FAIL</t>
        </is>
      </c>
      <c r="F28" s="2" t="inlineStr">
        <is>
          <t>BLOCKED</t>
        </is>
      </c>
      <c r="G28" s="2" t="inlineStr">
        <is>
          <t>Pass rate</t>
        </is>
      </c>
      <c r="H28" s="2" t="n"/>
    </row>
    <row r="29">
      <c r="A29" t="inlineStr">
        <is>
          <t>Scenario-based</t>
        </is>
      </c>
      <c r="B29">
        <f>COUNTIF(Results!$B$2:$B$21,A29)</f>
        <v/>
      </c>
      <c r="C29">
        <f>COUNTIFS(Results!$B$2:$B$21,A29,Results!$AD$2:$AD$21,"PASS")</f>
        <v/>
      </c>
      <c r="D29">
        <f>COUNTIFS(Results!$B$2:$B$21,A29,Results!$AD$2:$AD$21,"PARTIAL")</f>
        <v/>
      </c>
      <c r="E29">
        <f>COUNTIFS(Results!$B$2:$B$21,A29,Results!$AD$2:$AD$21,"FAIL")</f>
        <v/>
      </c>
      <c r="F29">
        <f>COUNTIFS(Results!$B$2:$B$21,A29,Results!$AD$2:$AD$21,"BLOCKED")</f>
        <v/>
      </c>
      <c r="G29">
        <f>IF(B29=0,0,C29/B29)</f>
        <v/>
      </c>
      <c r="H29" s="5" t="n"/>
    </row>
    <row r="30">
      <c r="A30" t="inlineStr">
        <is>
          <t>Direct Fact</t>
        </is>
      </c>
      <c r="B30">
        <f>COUNTIF(Results!$B$2:$B$21,A30)</f>
        <v/>
      </c>
      <c r="C30">
        <f>COUNTIFS(Results!$B$2:$B$21,A30,Results!$AD$2:$AD$21,"PASS")</f>
        <v/>
      </c>
      <c r="D30">
        <f>COUNTIFS(Results!$B$2:$B$21,A30,Results!$AD$2:$AD$21,"PARTIAL")</f>
        <v/>
      </c>
      <c r="E30">
        <f>COUNTIFS(Results!$B$2:$B$21,A30,Results!$AD$2:$AD$21,"FAIL")</f>
        <v/>
      </c>
      <c r="F30">
        <f>COUNTIFS(Results!$B$2:$B$21,A30,Results!$AD$2:$AD$21,"BLOCKED")</f>
        <v/>
      </c>
      <c r="G30">
        <f>IF(B30=0,0,C30/B30)</f>
        <v/>
      </c>
      <c r="H30" s="5" t="n"/>
    </row>
    <row r="31">
      <c r="A31" t="inlineStr">
        <is>
          <t>Concept</t>
        </is>
      </c>
      <c r="B31">
        <f>COUNTIF(Results!$B$2:$B$21,A31)</f>
        <v/>
      </c>
      <c r="C31">
        <f>COUNTIFS(Results!$B$2:$B$21,A31,Results!$AD$2:$AD$21,"PASS")</f>
        <v/>
      </c>
      <c r="D31">
        <f>COUNTIFS(Results!$B$2:$B$21,A31,Results!$AD$2:$AD$21,"PARTIAL")</f>
        <v/>
      </c>
      <c r="E31">
        <f>COUNTIFS(Results!$B$2:$B$21,A31,Results!$AD$2:$AD$21,"FAIL")</f>
        <v/>
      </c>
      <c r="F31">
        <f>COUNTIFS(Results!$B$2:$B$21,A31,Results!$AD$2:$AD$21,"BLOCKED")</f>
        <v/>
      </c>
      <c r="G31">
        <f>IF(B31=0,0,C31/B31)</f>
        <v/>
      </c>
      <c r="H31" s="5" t="n"/>
    </row>
    <row r="32">
      <c r="A32" t="inlineStr">
        <is>
          <t>Navigation</t>
        </is>
      </c>
      <c r="B32">
        <f>COUNTIF(Results!$B$2:$B$21,A32)</f>
        <v/>
      </c>
      <c r="C32">
        <f>COUNTIFS(Results!$B$2:$B$21,A32,Results!$AD$2:$AD$21,"PASS")</f>
        <v/>
      </c>
      <c r="D32">
        <f>COUNTIFS(Results!$B$2:$B$21,A32,Results!$AD$2:$AD$21,"PARTIAL")</f>
        <v/>
      </c>
      <c r="E32">
        <f>COUNTIFS(Results!$B$2:$B$21,A32,Results!$AD$2:$AD$21,"FAIL")</f>
        <v/>
      </c>
      <c r="F32">
        <f>COUNTIFS(Results!$B$2:$B$21,A32,Results!$AD$2:$AD$21,"BLOCKED")</f>
        <v/>
      </c>
      <c r="G32">
        <f>IF(B32=0,0,C32/B32)</f>
        <v/>
      </c>
      <c r="H32" s="5" t="n"/>
    </row>
    <row r="33">
      <c r="A33" t="inlineStr">
        <is>
          <t>Multi-hop</t>
        </is>
      </c>
      <c r="B33">
        <f>COUNTIF(Results!$B$2:$B$21,A33)</f>
        <v/>
      </c>
      <c r="C33">
        <f>COUNTIFS(Results!$B$2:$B$21,A33,Results!$AD$2:$AD$21,"PASS")</f>
        <v/>
      </c>
      <c r="D33">
        <f>COUNTIFS(Results!$B$2:$B$21,A33,Results!$AD$2:$AD$21,"PARTIAL")</f>
        <v/>
      </c>
      <c r="E33">
        <f>COUNTIFS(Results!$B$2:$B$21,A33,Results!$AD$2:$AD$21,"FAIL")</f>
        <v/>
      </c>
      <c r="F33">
        <f>COUNTIFS(Results!$B$2:$B$21,A33,Results!$AD$2:$AD$21,"BLOCKED")</f>
        <v/>
      </c>
      <c r="G33">
        <f>IF(B33=0,0,C33/B33)</f>
        <v/>
      </c>
      <c r="H33" s="5" t="n"/>
    </row>
    <row r="34">
      <c r="A34" t="inlineStr">
        <is>
          <t>Definition</t>
        </is>
      </c>
      <c r="B34">
        <f>COUNTIF(Results!$B$2:$B$21,A34)</f>
        <v/>
      </c>
      <c r="C34">
        <f>COUNTIFS(Results!$B$2:$B$21,A34,Results!$AD$2:$AD$21,"PASS")</f>
        <v/>
      </c>
      <c r="D34">
        <f>COUNTIFS(Results!$B$2:$B$21,A34,Results!$AD$2:$AD$21,"PARTIAL")</f>
        <v/>
      </c>
      <c r="E34">
        <f>COUNTIFS(Results!$B$2:$B$21,A34,Results!$AD$2:$AD$21,"FAIL")</f>
        <v/>
      </c>
      <c r="F34">
        <f>COUNTIFS(Results!$B$2:$B$21,A34,Results!$AD$2:$AD$21,"BLOCKED")</f>
        <v/>
      </c>
      <c r="G34">
        <f>IF(B34=0,0,C34/B34)</f>
        <v/>
      </c>
      <c r="H34"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45" customWidth="1" min="3" max="3"/>
    <col width="45" customWidth="1" min="4" max="4"/>
    <col width="35" customWidth="1" min="5" max="5"/>
    <col width="14" customWidth="1" min="6" max="6"/>
    <col width="14" customWidth="1" min="7" max="7"/>
    <col width="25"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60" customWidth="1" min="18" max="18"/>
    <col width="45" customWidth="1" min="19" max="19"/>
    <col width="45"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35" customWidth="1" min="28" max="28"/>
    <col width="14" customWidth="1" min="29" max="29"/>
    <col width="14" customWidth="1" min="30" max="30"/>
    <col width="14" customWidth="1" min="31" max="31"/>
    <col width="30" customWidth="1" min="32" max="32"/>
  </cols>
  <sheetData>
    <row r="1">
      <c r="A1" s="2" t="inlineStr">
        <is>
          <t>Test Case ID</t>
        </is>
      </c>
      <c r="B1" s="2" t="inlineStr">
        <is>
          <t>Category</t>
        </is>
      </c>
      <c r="C1" s="2" t="inlineStr">
        <is>
          <t>Query</t>
        </is>
      </c>
      <c r="D1" s="2" t="inlineStr">
        <is>
          <t>Expected Answer</t>
        </is>
      </c>
      <c r="E1" s="2" t="inlineStr">
        <is>
          <t>Evidence</t>
        </is>
      </c>
      <c r="F1" s="2" t="inlineStr">
        <is>
          <t>Source Page</t>
        </is>
      </c>
      <c r="G1" s="2" t="inlineStr">
        <is>
          <t>Source Section</t>
        </is>
      </c>
      <c r="H1" s="2" t="inlineStr">
        <is>
          <t>Required Keywords / Key Concepts</t>
        </is>
      </c>
      <c r="I1" s="2" t="inlineStr">
        <is>
          <t>Retrieval Difficulty</t>
        </is>
      </c>
      <c r="J1" s="2" t="inlineStr">
        <is>
          <t>Expected Retrieval Type</t>
        </is>
      </c>
      <c r="K1" s="2" t="inlineStr">
        <is>
          <t>Is Answerable</t>
        </is>
      </c>
      <c r="L1" s="2" t="inlineStr">
        <is>
          <t>Expected Behavior</t>
        </is>
      </c>
      <c r="M1" s="2" t="inlineStr">
        <is>
          <t>Notes</t>
        </is>
      </c>
      <c r="N1" s="2" t="inlineStr">
        <is>
          <t>Forbidden Keywords</t>
        </is>
      </c>
      <c r="O1" s="2" t="inlineStr">
        <is>
          <t>Reviewed By</t>
        </is>
      </c>
      <c r="P1" s="2" t="inlineStr">
        <is>
          <t>Reviewed Date</t>
        </is>
      </c>
      <c r="Q1" s="2" t="inlineStr">
        <is>
          <t>Document</t>
        </is>
      </c>
      <c r="R1" s="2" t="inlineStr">
        <is>
          <t>Actual Answer</t>
        </is>
      </c>
      <c r="S1" s="2" t="inlineStr">
        <is>
          <t>Cited Sources</t>
        </is>
      </c>
      <c r="T1" s="2" t="inlineStr">
        <is>
          <t>Context Sources</t>
        </is>
      </c>
      <c r="U1" s="2" t="inlineStr">
        <is>
          <t>LLM Model</t>
        </is>
      </c>
      <c r="V1" s="2" t="inlineStr">
        <is>
          <t>Latency (s)</t>
        </is>
      </c>
      <c r="W1" s="2" t="inlineStr">
        <is>
          <t>Keyword Coverage</t>
        </is>
      </c>
      <c r="X1" s="2" t="inlineStr">
        <is>
          <t>Expected-Answer Recall</t>
        </is>
      </c>
      <c r="Y1" s="2" t="inlineStr">
        <is>
          <t>Cited Expected Doc</t>
        </is>
      </c>
      <c r="Z1" s="2" t="inlineStr">
        <is>
          <t>Page Match</t>
        </is>
      </c>
      <c r="AA1" s="2" t="inlineStr">
        <is>
          <t>Suggested Status</t>
        </is>
      </c>
      <c r="AB1" s="2" t="inlineStr">
        <is>
          <t>Auto Reasons</t>
        </is>
      </c>
      <c r="AC1" s="2" t="inlineStr">
        <is>
          <t>Final Status</t>
        </is>
      </c>
      <c r="AD1" s="2" t="inlineStr">
        <is>
          <t>Effective Status</t>
        </is>
      </c>
      <c r="AE1" s="2" t="inlineStr">
        <is>
          <t>Defect ID</t>
        </is>
      </c>
      <c r="AF1" s="2" t="inlineStr">
        <is>
          <t>Tester Note</t>
        </is>
      </c>
    </row>
    <row r="2">
      <c r="A2" s="6" t="inlineStr">
        <is>
          <t>ROB_A_001</t>
        </is>
      </c>
      <c r="B2" s="6" t="inlineStr">
        <is>
          <t>Scenario-based</t>
        </is>
      </c>
      <c r="C2" s="6" t="inlineStr">
        <is>
          <t>Mot nguoi tim viec thong qua trung tam dich vu viec lam. Theo giao trinh, quan he nay co nam trong doi tuong dieu chinh cua Luat lao dong khong?</t>
        </is>
      </c>
      <c r="D2" s="6" t="inlineStr">
        <is>
          <t>Có. Đây là một dạng quan hệ về việc làm giữa NLĐ và trung tâm dịch vụ việc làm, được xếp vào các quan hệ liên quan đến quan hệ lao động.</t>
        </is>
      </c>
      <c r="E2" s="6" t="inlineStr">
        <is>
          <t>Căn cứ: phần “Bài 1 - Quan hệ việc làm”, trang 5. 
Nội dung được tài liệu xác nhận: Có. Đây là một dạng quan hệ về việc làm giữa NLĐ và trung tâm dịch vụ việc làm, được xếp vào các quan hệ liên quan đến quan hệ lao động.</t>
        </is>
      </c>
      <c r="F2" s="6" t="n">
        <v>5</v>
      </c>
      <c r="G2" s="6" t="inlineStr">
        <is>
          <t>Bài 1 - Quan hệ việc làm</t>
        </is>
      </c>
      <c r="H2" s="6" t="inlineStr">
        <is>
          <t>NLĐ | trung tâm dịch vụ việc làm | quan hệ việc làm</t>
        </is>
      </c>
      <c r="I2" s="6" t="inlineStr">
        <is>
          <t>Hard</t>
        </is>
      </c>
      <c r="J2" s="6" t="inlineStr">
        <is>
          <t>Single Chunk</t>
        </is>
      </c>
      <c r="K2" s="6" t="inlineStr">
        <is>
          <t>Yes</t>
        </is>
      </c>
      <c r="L2" s="6" t="inlineStr">
        <is>
          <t>Answer from document</t>
        </is>
      </c>
      <c r="M2" s="6" t="inlineStr">
        <is>
          <t>no diacritics of LAW_A_016</t>
        </is>
      </c>
      <c r="N2" s="6" t="n"/>
      <c r="O2" s="6" t="n"/>
      <c r="P2" s="6" t="n"/>
      <c r="Q2" s="6" t="inlineStr">
        <is>
          <t>giao trinh Luat lao dong CB 2005 (1)</t>
        </is>
      </c>
      <c r="R2" s="6" t="inlineStr">
        <is>
          <t>Dựa trên tài liệu được cung cấp, tôi không tìm thấy thông tin để trả lời câu hỏi này.</t>
        </is>
      </c>
      <c r="S2" s="6" t="inlineStr"/>
      <c r="T2" s="6" t="inlineStr"/>
      <c r="U2" s="6" t="inlineStr">
        <is>
          <t>(no LLM call: early exit)</t>
        </is>
      </c>
      <c r="V2" s="6" t="n">
        <v>15.5</v>
      </c>
      <c r="W2" s="7" t="n">
        <v>0</v>
      </c>
      <c r="X2" s="7" t="n">
        <v>0</v>
      </c>
      <c r="Y2" s="6" t="inlineStr">
        <is>
          <t>No</t>
        </is>
      </c>
      <c r="Z2" s="6" t="inlineStr">
        <is>
          <t>No</t>
        </is>
      </c>
      <c r="AA2" s="6" t="inlineStr">
        <is>
          <t>FAIL</t>
        </is>
      </c>
      <c r="AB2" s="6" t="inlineStr">
        <is>
          <t>Từ chối trả lời dù câu hỏi có đáp án</t>
        </is>
      </c>
      <c r="AC2" s="6" t="n"/>
      <c r="AD2" s="6">
        <f>IF(AC2="",AA2,AC2)</f>
        <v/>
      </c>
      <c r="AE2" s="6" t="n"/>
      <c r="AF2" s="6" t="n"/>
    </row>
    <row r="3">
      <c r="A3" s="6" t="inlineStr">
        <is>
          <t>ROB_A_002</t>
        </is>
      </c>
      <c r="B3" s="6" t="inlineStr">
        <is>
          <t>Direct Fact</t>
        </is>
      </c>
      <c r="C3" s="6" t="inlineStr">
        <is>
          <t>Theo giao trinh, lam them vao ngay le/ngay nghi huong luong duoc tra it nhat bao nhieu?</t>
        </is>
      </c>
      <c r="D3" s="6" t="inlineStr">
        <is>
          <t>Ít nhất bằng 300% theo quy định được tài liệu trình bày.</t>
        </is>
      </c>
      <c r="E3" s="6" t="inlineStr">
        <is>
          <t>Căn cứ: phần “Bài 6 - Trả lương làm thêm giờ”, trang 59. 
Nội dung được tài liệu xác nhận: Ít nhất bằng 300% theo quy định được tài liệu trình bày.</t>
        </is>
      </c>
      <c r="F3" s="6" t="n">
        <v>59</v>
      </c>
      <c r="G3" s="6" t="inlineStr">
        <is>
          <t>Bài 6 - Trả lương làm thêm giờ</t>
        </is>
      </c>
      <c r="H3" s="6" t="inlineStr">
        <is>
          <t>300% | ngày lễ | nghỉ hưởng lương</t>
        </is>
      </c>
      <c r="I3" s="6" t="inlineStr">
        <is>
          <t>Medium</t>
        </is>
      </c>
      <c r="J3" s="6" t="inlineStr">
        <is>
          <t>Single Chunk</t>
        </is>
      </c>
      <c r="K3" s="6" t="inlineStr">
        <is>
          <t>Yes</t>
        </is>
      </c>
      <c r="L3" s="6" t="inlineStr">
        <is>
          <t>Answer from document</t>
        </is>
      </c>
      <c r="M3" s="6" t="inlineStr">
        <is>
          <t>no diacritics of LAW_A_010</t>
        </is>
      </c>
      <c r="N3" s="6" t="n"/>
      <c r="O3" s="6" t="n"/>
      <c r="P3" s="6" t="n"/>
      <c r="Q3" s="6" t="inlineStr">
        <is>
          <t>giao trinh Luat lao dong CB 2005 (1)</t>
        </is>
      </c>
      <c r="R3" s="6" t="inlineStr">
        <is>
          <t>Dựa trên tài liệu được cung cấp, tôi không tìm thấy thông tin để trả lời câu hỏi này.</t>
        </is>
      </c>
      <c r="S3" s="6" t="inlineStr"/>
      <c r="T3" s="6" t="inlineStr"/>
      <c r="U3" s="6" t="inlineStr">
        <is>
          <t>(no LLM call: early exit)</t>
        </is>
      </c>
      <c r="V3" s="6" t="n">
        <v>17.6</v>
      </c>
      <c r="W3" s="7" t="n">
        <v>0</v>
      </c>
      <c r="X3" s="7" t="n">
        <v>0</v>
      </c>
      <c r="Y3" s="6" t="inlineStr">
        <is>
          <t>No</t>
        </is>
      </c>
      <c r="Z3" s="6" t="inlineStr">
        <is>
          <t>No</t>
        </is>
      </c>
      <c r="AA3" s="6" t="inlineStr">
        <is>
          <t>FAIL</t>
        </is>
      </c>
      <c r="AB3" s="6" t="inlineStr">
        <is>
          <t>Từ chối trả lời dù câu hỏi có đáp án</t>
        </is>
      </c>
      <c r="AC3" s="6" t="n"/>
      <c r="AD3" s="6">
        <f>IF(AC3="",AA3,AC3)</f>
        <v/>
      </c>
      <c r="AE3" s="6" t="n"/>
      <c r="AF3" s="6" t="n"/>
    </row>
    <row r="4">
      <c r="A4" s="6" t="inlineStr">
        <is>
          <t>ROB_A_003</t>
        </is>
      </c>
      <c r="B4" s="6" t="inlineStr">
        <is>
          <t>Scenario-based</t>
        </is>
      </c>
      <c r="C4" s="6" t="inlineStr">
        <is>
          <t>Một NLĐ gây thiệt hại tài sản cho NSDLĐ khi thực hệin nghĩa vụ lao động. Theo cách phân loại của giáo trình, đây tuhộc nhóm quan hệ nào?</t>
        </is>
      </c>
      <c r="D4" s="6" t="inlineStr">
        <is>
          <t>Thuộc quan hệ về bồi thường thiệt hại liên quan đến quan hệ lao động.</t>
        </is>
      </c>
      <c r="E4" s="6" t="inlineStr">
        <is>
          <t>Căn cứ: phần “Bài 1 - Bồi thường thiệt hại”, trang 5. 
Nội dung được tài liệu xác nhận: Thuộc quan hệ về bồi thường thiệt hại liên quan đến quan hệ lao động.</t>
        </is>
      </c>
      <c r="F4" s="6" t="n">
        <v>5</v>
      </c>
      <c r="G4" s="6" t="inlineStr">
        <is>
          <t>Bài 1 - Bồi thường thiệt hại</t>
        </is>
      </c>
      <c r="H4" s="6" t="inlineStr">
        <is>
          <t>bồi thường thiệt hại | tài sản</t>
        </is>
      </c>
      <c r="I4" s="6" t="inlineStr">
        <is>
          <t>Hard</t>
        </is>
      </c>
      <c r="J4" s="6" t="inlineStr">
        <is>
          <t>Single Chunk</t>
        </is>
      </c>
      <c r="K4" s="6" t="inlineStr">
        <is>
          <t>Yes</t>
        </is>
      </c>
      <c r="L4" s="6" t="inlineStr">
        <is>
          <t>Answer from document</t>
        </is>
      </c>
      <c r="M4" s="6" t="inlineStr">
        <is>
          <t>typo of LAW_A_015</t>
        </is>
      </c>
      <c r="N4" s="6" t="n"/>
      <c r="O4" s="6" t="n"/>
      <c r="P4" s="6" t="n"/>
      <c r="Q4" s="6" t="inlineStr">
        <is>
          <t>giao trinh Luat lao dong CB 2005 (1)</t>
        </is>
      </c>
      <c r="R4" s="6" t="inlineStr">
        <is>
          <t>Theo tài liệu được cung cấp, khi các chủ thể tham gia quan hệ lao động gây thiệt hại cho nhau về tài sản, sức khỏe, tính mạng khi thực hiện quyền và nghĩa vụ lao động thì phát sinh quan hệ về bồi thường thiệt hại [SOURCE_1], [SOURCE_2]. 
Theo cách phân loại, các quan hệ pháp luật về bồi thường thiệt hại này được chia thành ba loại, trong đó trường hợp gây thiệt hại tài sản thuộc **quan hệ bồi thường thiệt hại tài sản** [SOURCE_1].</t>
        </is>
      </c>
      <c r="S4" s="6" t="inlineStr">
        <is>
          <t>[SOURCE_1] giao trinh Luat lao dong CB 2005 (1) | tr.5 | (2) Quan hệ học nghề | 0.9586
[SOURCE_2] giao trinh Luat lao dong CB 2005 (1) | tr.5 | (2) Quan hệ học nghề | 0.8045</t>
        </is>
      </c>
      <c r="T4" s="6" t="inlineStr">
        <is>
          <t>[SOURCE_1] giao trinh Luat lao dong CB 2005 (1) | tr.5 | (2) Quan hệ học nghề | 0.9586
[SOURCE_2] giao trinh Luat lao dong CB 2005 (1) | tr.5 | (2) Quan hệ học nghề | 0.8045
[SOURCE_3] ILO-VCCI_Labour-Law-Guide-Book-V04-Final | tr.10 | CHƯƠNG I. QUAN HỆ LAO ĐỘNG VÀ HỢP ĐỒNG LAO ĐỘNG &gt; I. QUAN HỆ | 0.5423
[SOURCE_4] giao trinh Luat lao dong CB 2005 (1) | tr.95 | - Có quan hệ nhân quả giữa hành vi vi phạm và thiệt hại tài  | 0.5004
[SOURCE_5] giao trinh Luat lao dong CB 2005 (1) | tr.95 | IV. TRÁCH NHIỆM VẬT CHẤT TRONG QUAN HỆ LAO ĐỘNG &gt; 1. Khái ni | 0.3782</t>
        </is>
      </c>
      <c r="U4" s="6" t="inlineStr">
        <is>
          <t>gemini-3.5-flash-lite</t>
        </is>
      </c>
      <c r="V4" s="6" t="n">
        <v>15.7</v>
      </c>
      <c r="W4" s="7" t="n">
        <v>1</v>
      </c>
      <c r="X4" s="7" t="n">
        <v>0.9230769230769231</v>
      </c>
      <c r="Y4" s="6" t="inlineStr">
        <is>
          <t>Yes</t>
        </is>
      </c>
      <c r="Z4" s="6" t="inlineStr">
        <is>
          <t>Yes</t>
        </is>
      </c>
      <c r="AA4" s="6" t="inlineStr">
        <is>
          <t>PASS</t>
        </is>
      </c>
      <c r="AB4" s="6" t="inlineStr"/>
      <c r="AC4" s="6" t="n"/>
      <c r="AD4" s="6">
        <f>IF(AC4="",AA4,AC4)</f>
        <v/>
      </c>
      <c r="AE4" s="6" t="n"/>
      <c r="AF4" s="6" t="n"/>
    </row>
    <row r="5">
      <c r="A5" s="6" t="inlineStr">
        <is>
          <t>ROB_A_004</t>
        </is>
      </c>
      <c r="B5" s="6" t="inlineStr">
        <is>
          <t>Concept</t>
        </is>
      </c>
      <c r="C5" s="6" t="inlineStr">
        <is>
          <t>Quan he boi thuong thiet hai trong lao dong phat sinh khi nao?</t>
        </is>
      </c>
      <c r="D5" s="6" t="inlineStr">
        <is>
          <t>Phát sinh khi một chủ thể trong quá trình thực hiện quyền, nghĩa vụ lao động gây thiệt hại về sức khỏe, tính mạng, tài sản hoặc lợi ích của bên kia.</t>
        </is>
      </c>
      <c r="E5" s="6" t="inlineStr">
        <is>
          <t>Căn cứ: phần “Bài 1 - Bồi thường thiệt hại”, trang 6.
Nội dung được tài liệu xác nhận: Phát sinh khi một chủ thể trong quá trình thực hiện quyền, nghĩa vụ lao động gây thiệt hại về sức khỏe, tính mạng, tài sản hoặc lợi ích của bên kia.</t>
        </is>
      </c>
      <c r="F5" s="6" t="n">
        <v>6</v>
      </c>
      <c r="G5" s="6" t="inlineStr">
        <is>
          <t>Bài 1 - Bồi thường thiệt hại</t>
        </is>
      </c>
      <c r="H5" s="6" t="inlineStr">
        <is>
          <t>thiệt hại | sức khỏe | tính mạng | tài sản</t>
        </is>
      </c>
      <c r="I5" s="6" t="inlineStr">
        <is>
          <t>Medium</t>
        </is>
      </c>
      <c r="J5" s="6" t="inlineStr">
        <is>
          <t>Single Chunk</t>
        </is>
      </c>
      <c r="K5" s="6" t="inlineStr">
        <is>
          <t>Yes</t>
        </is>
      </c>
      <c r="L5" s="6" t="inlineStr">
        <is>
          <t>Answer from document</t>
        </is>
      </c>
      <c r="M5" s="6" t="inlineStr">
        <is>
          <t>no diacritics of LAW_A_014</t>
        </is>
      </c>
      <c r="N5" s="6" t="n"/>
      <c r="O5" s="6" t="n"/>
      <c r="P5" s="6" t="n"/>
      <c r="Q5" s="6" t="inlineStr">
        <is>
          <t>giao trinh Luat lao dong CB 2005 (1)</t>
        </is>
      </c>
      <c r="R5" s="6" t="inlineStr">
        <is>
          <t>Dựa trên tài liệu được cung cấp, tôi không tìm thấy thông tin để trả lời câu hỏi này.</t>
        </is>
      </c>
      <c r="S5" s="6" t="inlineStr"/>
      <c r="T5" s="6" t="inlineStr"/>
      <c r="U5" s="6" t="inlineStr">
        <is>
          <t>(no LLM call: early exit)</t>
        </is>
      </c>
      <c r="V5" s="6" t="n">
        <v>18.7</v>
      </c>
      <c r="W5" s="7" t="n">
        <v>0</v>
      </c>
      <c r="X5" s="7" t="n">
        <v>0</v>
      </c>
      <c r="Y5" s="6" t="inlineStr">
        <is>
          <t>No</t>
        </is>
      </c>
      <c r="Z5" s="6" t="inlineStr">
        <is>
          <t>No</t>
        </is>
      </c>
      <c r="AA5" s="6" t="inlineStr">
        <is>
          <t>FAIL</t>
        </is>
      </c>
      <c r="AB5" s="6" t="inlineStr">
        <is>
          <t>Từ chối trả lời dù câu hỏi có đáp án</t>
        </is>
      </c>
      <c r="AC5" s="6" t="n"/>
      <c r="AD5" s="6">
        <f>IF(AC5="",AA5,AC5)</f>
        <v/>
      </c>
      <c r="AE5" s="6" t="n"/>
      <c r="AF5" s="6" t="n"/>
    </row>
    <row r="6">
      <c r="A6" s="6" t="inlineStr">
        <is>
          <t>ROB_B_005</t>
        </is>
      </c>
      <c r="B6" s="6" t="inlineStr">
        <is>
          <t>Direct Fact</t>
        </is>
      </c>
      <c r="C6" s="6" t="inlineStr">
        <is>
          <t>So tay xep tra tien luong lam them gio vao phan nao?</t>
        </is>
      </c>
      <c r="D6" s="6" t="inlineStr">
        <is>
          <t>Thuộc Phần II - Tiền lương.</t>
        </is>
      </c>
      <c r="E6" s="6" t="inlineStr">
        <is>
          <t>Căn cứ: phần “Phần II - Tiền lương”, trang 6. 
Nội dung được tài liệu xác nhận: Thuộc Phần II - Tiền lương.</t>
        </is>
      </c>
      <c r="F6" s="6" t="n">
        <v>6</v>
      </c>
      <c r="G6" s="6" t="inlineStr">
        <is>
          <t>Phần II - Tiền lương</t>
        </is>
      </c>
      <c r="H6" s="6" t="inlineStr">
        <is>
          <t>làm thêm giờ | tiền lương</t>
        </is>
      </c>
      <c r="I6" s="6" t="inlineStr">
        <is>
          <t>Easy</t>
        </is>
      </c>
      <c r="J6" s="6" t="inlineStr">
        <is>
          <t>Single Chunk</t>
        </is>
      </c>
      <c r="K6" s="6" t="inlineStr">
        <is>
          <t>Yes</t>
        </is>
      </c>
      <c r="L6" s="6" t="inlineStr">
        <is>
          <t>Answer from document</t>
        </is>
      </c>
      <c r="M6" s="6" t="inlineStr">
        <is>
          <t>no diacritics of LAW_B_005</t>
        </is>
      </c>
      <c r="N6" s="6" t="n"/>
      <c r="O6" s="6" t="n"/>
      <c r="P6" s="6" t="n"/>
      <c r="Q6" s="6" t="inlineStr">
        <is>
          <t>so-tay-kien-thuc-phap-luat-lao-dong-cdi</t>
        </is>
      </c>
      <c r="R6" s="6" t="inlineStr">
        <is>
          <t>Dựa trên tài liệu được cung cấp, tôi không tìm thấy thông tin để trả lời câu hỏi này.</t>
        </is>
      </c>
      <c r="S6" s="6" t="inlineStr"/>
      <c r="T6" s="6" t="inlineStr"/>
      <c r="U6" s="6" t="inlineStr">
        <is>
          <t>(no LLM call: early exit)</t>
        </is>
      </c>
      <c r="V6" s="6" t="n">
        <v>17</v>
      </c>
      <c r="W6" s="7" t="n">
        <v>0</v>
      </c>
      <c r="X6" s="7" t="n">
        <v>0</v>
      </c>
      <c r="Y6" s="6" t="inlineStr">
        <is>
          <t>No</t>
        </is>
      </c>
      <c r="Z6" s="6" t="inlineStr">
        <is>
          <t>No</t>
        </is>
      </c>
      <c r="AA6" s="6" t="inlineStr">
        <is>
          <t>FAIL</t>
        </is>
      </c>
      <c r="AB6" s="6" t="inlineStr">
        <is>
          <t>Từ chối trả lời dù câu hỏi có đáp án</t>
        </is>
      </c>
      <c r="AC6" s="6" t="n"/>
      <c r="AD6" s="6">
        <f>IF(AC6="",AA6,AC6)</f>
        <v/>
      </c>
      <c r="AE6" s="6" t="n"/>
      <c r="AF6" s="6" t="n"/>
    </row>
    <row r="7">
      <c r="A7" s="6" t="inlineStr">
        <is>
          <t>ROB_B_006</t>
        </is>
      </c>
      <c r="B7" s="6" t="inlineStr">
        <is>
          <t>Direct Fact</t>
        </is>
      </c>
      <c r="C7" s="6" t="inlineStr">
        <is>
          <t>Sổ tay có đề cập nội dnug “khi nào được ký HĐLĐ không xác định thời hạn” ở pầhn nào?</t>
        </is>
      </c>
      <c r="D7" s="6" t="inlineStr">
        <is>
          <t>Nội dung này nằm trong Phần I - Hợp đồng lao động.</t>
        </is>
      </c>
      <c r="E7" s="6" t="inlineStr">
        <is>
          <t>Căn cứ: phần “Phần I - Hợp đồng lao động”, trang 6. 
Nội dung được tài liệu xác nhận: Nội dung này nằm trong Phần I - Hợp đồng lao động.</t>
        </is>
      </c>
      <c r="F7" s="6" t="n">
        <v>6</v>
      </c>
      <c r="G7" s="6" t="inlineStr">
        <is>
          <t>Phần I - Hợp đồng lao động</t>
        </is>
      </c>
      <c r="H7" s="6" t="inlineStr">
        <is>
          <t>HĐLĐ không xác định thời hạn</t>
        </is>
      </c>
      <c r="I7" s="6" t="inlineStr">
        <is>
          <t>Easy</t>
        </is>
      </c>
      <c r="J7" s="6" t="inlineStr">
        <is>
          <t>Single Chunk</t>
        </is>
      </c>
      <c r="K7" s="6" t="inlineStr">
        <is>
          <t>Yes</t>
        </is>
      </c>
      <c r="L7" s="6" t="inlineStr">
        <is>
          <t>Answer from document</t>
        </is>
      </c>
      <c r="M7" s="6" t="inlineStr">
        <is>
          <t>typo of LAW_B_003</t>
        </is>
      </c>
      <c r="N7" s="6" t="n"/>
      <c r="O7" s="6" t="n"/>
      <c r="P7" s="6" t="n"/>
      <c r="Q7" s="6" t="inlineStr">
        <is>
          <t>so-tay-kien-thuc-phap-luat-lao-dong-cdi</t>
        </is>
      </c>
      <c r="R7" s="6" t="inlineStr">
        <is>
          <t>Dựa trên tài liệu được cung cấp, nội dung liên quan đến việc ký hợp đồng lao động không xác định thời hạn được đề cập ở các phần sau:
* **Phần (b)** trong mục *"5. Gia hạn HĐLĐ"* (trang 18) [SOURCE_2].
* **Phần trả lời** tại trang 13 của tài liệu `so-tay-kien-thuc-phap-luat-lao-dong-cdi.pdf` [SOURCE_4].
* **Điều 20. Loại hợp đồng lao động** (trang 9) [SOURCE_5].</t>
        </is>
      </c>
      <c r="S7" s="6" t="inlineStr">
        <is>
          <t>[SOURCE_2] ILO-VCCI_Labour-Law-Guide-Book-V04-Final | tr.18 | 5. Gia hạn HĐLĐ | 0.8539
[SOURCE_4] so-tay-kien-thuc-phap-luat-lao-dong-cdi | tr.13 | Trả lời: | 0.7798
[SOURCE_5] Văn-bản-hợp-nhất-18-VBHN-VPQH | tr.9 | Điều 20. Loại hợp đồng lao động | 0.7545</t>
        </is>
      </c>
      <c r="T7" s="6" t="inlineStr">
        <is>
          <t>[SOURCE_1] ILO-VCCI_Labour-Law-Guide-Book-V04-Final | tr.20 | (b) Đối với người lao động nước ngoài làm việc tại Việt Nam: | 0.8617
[SOURCE_2] ILO-VCCI_Labour-Law-Guide-Book-V04-Final | tr.18 | 5. Gia hạn HĐLĐ | 0.8539
[SOURCE_3] ILO-VCCI_Labour-Law-Guide-Book-V04-Final | tr.19 | (a) Đối với người lao động cao tuổi: | 0.8258
[SOURCE_4] so-tay-kien-thuc-phap-luat-lao-dong-cdi | tr.13 | Trả lời: | 0.7798
[SOURCE_5] Văn-bản-hợp-nhất-18-VBHN-VPQH | tr.9 | Điều 20. Loại hợp đồng lao động | 0.7545</t>
        </is>
      </c>
      <c r="U7" s="6" t="inlineStr">
        <is>
          <t>gemini-3.5-flash-lite</t>
        </is>
      </c>
      <c r="V7" s="6" t="n">
        <v>19</v>
      </c>
      <c r="W7" s="7" t="n">
        <v>1</v>
      </c>
      <c r="X7" s="7" t="n">
        <v>0.875</v>
      </c>
      <c r="Y7" s="6" t="inlineStr">
        <is>
          <t>Yes</t>
        </is>
      </c>
      <c r="Z7" s="6" t="inlineStr">
        <is>
          <t>No</t>
        </is>
      </c>
      <c r="AA7" s="6" t="inlineStr">
        <is>
          <t>PASS</t>
        </is>
      </c>
      <c r="AB7" s="6" t="inlineStr">
        <is>
          <t>Không trích đúng trang 6 (±1)</t>
        </is>
      </c>
      <c r="AC7" s="6" t="n"/>
      <c r="AD7" s="6">
        <f>IF(AC7="",AA7,AC7)</f>
        <v/>
      </c>
      <c r="AE7" s="6" t="n"/>
      <c r="AF7" s="6" t="n"/>
    </row>
    <row r="8">
      <c r="A8" s="6" t="inlineStr">
        <is>
          <t>ROB_B_007</t>
        </is>
      </c>
      <c r="B8" s="6" t="inlineStr">
        <is>
          <t>Concept</t>
        </is>
      </c>
      <c r="C8" s="6" t="inlineStr">
        <is>
          <t>Hop dong lao dong co y nghia gi khi xay ra tranh chap theo so tay?</t>
        </is>
      </c>
      <c r="D8" s="6" t="inlineStr">
        <is>
          <t>Là căn cứ thể hiện các thỏa thuận của các bên để xem xét quyền, nghĩa vụ và giải quyết tranh chấp.</t>
        </is>
      </c>
      <c r="E8" s="6" t="inlineStr">
        <is>
          <t>Căn cứ: phần “Phần I - Hợp đồng lao động”
Nội dung được tài liệu xác nhận: Là căn cứ thể hiện các thỏa thuận của các bên để xem xét quyền, nghĩa vụ và giải quyết tranh chấp.</t>
        </is>
      </c>
      <c r="F8" s="6" t="n"/>
      <c r="G8" s="6" t="inlineStr">
        <is>
          <t>Phần I - Hợp đồng lao động</t>
        </is>
      </c>
      <c r="H8" s="6" t="inlineStr">
        <is>
          <t>căn cứ | quyền nghĩa vụ | tranh chấp</t>
        </is>
      </c>
      <c r="I8" s="6" t="inlineStr">
        <is>
          <t>Medium</t>
        </is>
      </c>
      <c r="J8" s="6" t="inlineStr">
        <is>
          <t>Single Chunk</t>
        </is>
      </c>
      <c r="K8" s="6" t="inlineStr">
        <is>
          <t>Yes</t>
        </is>
      </c>
      <c r="L8" s="6" t="inlineStr">
        <is>
          <t>Answer from document</t>
        </is>
      </c>
      <c r="M8" s="6" t="inlineStr">
        <is>
          <t>no diacritics of LAW_B_009</t>
        </is>
      </c>
      <c r="N8" s="6" t="n"/>
      <c r="O8" s="6" t="n"/>
      <c r="P8" s="6" t="n"/>
      <c r="Q8" s="6" t="inlineStr">
        <is>
          <t>so-tay-kien-thuc-phap-luat-lao-dong-cdi</t>
        </is>
      </c>
      <c r="R8" s="6" t="inlineStr">
        <is>
          <t>Dựa trên tài liệu được cung cấp, tôi không tìm thấy thông tin để trả lời câu hỏi này.</t>
        </is>
      </c>
      <c r="S8" s="6" t="inlineStr"/>
      <c r="T8" s="6" t="inlineStr"/>
      <c r="U8" s="6" t="inlineStr">
        <is>
          <t>(no LLM call: early exit)</t>
        </is>
      </c>
      <c r="V8" s="6" t="n">
        <v>16.7</v>
      </c>
      <c r="W8" s="7" t="n">
        <v>0</v>
      </c>
      <c r="X8" s="7" t="n">
        <v>0</v>
      </c>
      <c r="Y8" s="6" t="inlineStr">
        <is>
          <t>No</t>
        </is>
      </c>
      <c r="Z8" s="6" t="inlineStr">
        <is>
          <t>n/a</t>
        </is>
      </c>
      <c r="AA8" s="6" t="inlineStr">
        <is>
          <t>FAIL</t>
        </is>
      </c>
      <c r="AB8" s="6" t="inlineStr">
        <is>
          <t>Từ chối trả lời dù câu hỏi có đáp án</t>
        </is>
      </c>
      <c r="AC8" s="6" t="n"/>
      <c r="AD8" s="6">
        <f>IF(AC8="",AA8,AC8)</f>
        <v/>
      </c>
      <c r="AE8" s="6" t="n"/>
      <c r="AF8" s="6" t="n"/>
    </row>
    <row r="9">
      <c r="A9" s="6" t="inlineStr">
        <is>
          <t>ROB_B_008</t>
        </is>
      </c>
      <c r="B9" s="6" t="inlineStr">
        <is>
          <t>Direct Fact</t>
        </is>
      </c>
      <c r="C9" s="6" t="inlineStr">
        <is>
          <t>Theo sổ tay, HĐLĐ có thể được giao kết bằng lời nói trong trường hợp nào?</t>
        </is>
      </c>
      <c r="D9" s="6" t="inlineStr">
        <is>
          <t>Theo tài liệu, giao kết bằng lời nói áp dụng với công việc tạm thời có thời hạn dưới 03 tháng.</t>
        </is>
      </c>
      <c r="E9" s="6" t="inlineStr">
        <is>
          <t>Căn cứ: phần “Phần I - Hợp đồng lao động”, trang 11. 
Nội dung được tài liệu xác nhận: Theo tài liệu, giao kết bằng lời nói áp dụng với công việc tạm thời có thời hạn dưới 03 tháng.</t>
        </is>
      </c>
      <c r="F9" s="6" t="n">
        <v>11</v>
      </c>
      <c r="G9" s="6" t="inlineStr">
        <is>
          <t>Phần I - Hợp đồng lao động</t>
        </is>
      </c>
      <c r="H9" s="6" t="inlineStr">
        <is>
          <t>lời nói | tạm thời | dưới 03 tháng</t>
        </is>
      </c>
      <c r="I9" s="6" t="inlineStr">
        <is>
          <t>Easy</t>
        </is>
      </c>
      <c r="J9" s="6" t="inlineStr">
        <is>
          <t>Single Chunk</t>
        </is>
      </c>
      <c r="K9" s="6" t="inlineStr">
        <is>
          <t>Yes</t>
        </is>
      </c>
      <c r="L9" s="6" t="inlineStr">
        <is>
          <t>Answer from document</t>
        </is>
      </c>
      <c r="M9" s="6" t="inlineStr">
        <is>
          <t>abbreviation of LAW_B_001</t>
        </is>
      </c>
      <c r="N9" s="6" t="n"/>
      <c r="O9" s="6" t="n"/>
      <c r="P9" s="6" t="n"/>
      <c r="Q9" s="6" t="inlineStr">
        <is>
          <t>so-tay-kien-thuc-phap-luat-lao-dong-cdi</t>
        </is>
      </c>
      <c r="R9" s="6" t="inlineStr">
        <is>
          <t>Theo tài liệu, hợp đồng lao động có thể được giao kết bằng lời nói trong các trường hợp sau:
- Đối với trường hợp làm công việc tạm thời có thời hạn dưới 03 tháng [SOURCE_1], [SOURCE_2], [SOURCE_4].
- Đối với lao động giúp việc gia đình [SOURCE_4].
- Đối với hợp đồng có thời hạn dưới 01 tháng (trừ một số trường hợp đặc biệt theo quy định tại khoản 2 Điều 18, điểm a khoản 1 Điều 145 và khoản 1 Điều 162 của Bộ luật) [SOURCE_3].</t>
        </is>
      </c>
      <c r="S9" s="6" t="inlineStr">
        <is>
          <t>[SOURCE_1] so-tay-kien-thuc-phap-luat-lao-dong-cdi | tr.11 | Trả lời: | 0.9688
[SOURCE_2] so-tay-kien-thuc-phap-luat-lao-dong-cdi | tr.49 | Trả lời: | 0.9501
[SOURCE_3] Văn-bản-hợp-nhất-18-VBHN-VPQH | tr.7 | Điều 14. Hình thức hợp đồng lao động | 0.9039
[SOURCE_4] giao trinh Luat lao dong CB 2005 (1) | tr.36 | b. Hình thức của hợp đồng lao động | 0.8717</t>
        </is>
      </c>
      <c r="T9" s="6" t="inlineStr">
        <is>
          <t>[SOURCE_1] so-tay-kien-thuc-phap-luat-lao-dong-cdi | tr.11 | Trả lời: | 0.9688
[SOURCE_2] so-tay-kien-thuc-phap-luat-lao-dong-cdi | tr.49 | Trả lời: | 0.9501
[SOURCE_3] Văn-bản-hợp-nhất-18-VBHN-VPQH | tr.7 | Điều 14. Hình thức hợp đồng lao động | 0.9039
[SOURCE_4] giao trinh Luat lao dong CB 2005 (1) | tr.36 | b. Hình thức của hợp đồng lao động | 0.8717
[SOURCE_5] ILO-VCCI_Labour-Law-Guide-Book-V04-Final | tr.123 | 3. HĐLĐ với NLĐ cao tuổi | 0.5537</t>
        </is>
      </c>
      <c r="U9" s="6" t="inlineStr">
        <is>
          <t>gemini-3.5-flash-lite</t>
        </is>
      </c>
      <c r="V9" s="6" t="n">
        <v>19.9</v>
      </c>
      <c r="W9" s="7" t="n">
        <v>1</v>
      </c>
      <c r="X9" s="7" t="n">
        <v>0.875</v>
      </c>
      <c r="Y9" s="6" t="inlineStr">
        <is>
          <t>Yes</t>
        </is>
      </c>
      <c r="Z9" s="6" t="inlineStr">
        <is>
          <t>Yes</t>
        </is>
      </c>
      <c r="AA9" s="6" t="inlineStr">
        <is>
          <t>PASS</t>
        </is>
      </c>
      <c r="AB9" s="6" t="inlineStr"/>
      <c r="AC9" s="6" t="n"/>
      <c r="AD9" s="6">
        <f>IF(AC9="",AA9,AC9)</f>
        <v/>
      </c>
      <c r="AE9" s="6" t="n"/>
      <c r="AF9" s="6" t="n"/>
    </row>
    <row r="10">
      <c r="A10" s="6" t="inlineStr">
        <is>
          <t>ROB_C_009</t>
        </is>
      </c>
      <c r="B10" s="6" t="inlineStr">
        <is>
          <t>Navigation</t>
        </is>
      </c>
      <c r="C10" s="6" t="inlineStr">
        <is>
          <t>Văn bản nào trong mục lục quy định chi tiết về thời giờ làm việc, nghỉ nơgi và an toàn, vệ snih lao động?</t>
        </is>
      </c>
      <c r="D10" s="6" t="inlineStr">
        <is>
          <t>Nghị định số 45/2013/NĐ-CP ngày 10/05/2013.</t>
        </is>
      </c>
      <c r="E10" s="6" t="inlineStr">
        <is>
          <t>Căn cứ: phần “Mục lục”, trang 4. Nội dung được tài liệu xác nhận: Nghị định số 45/2013/NĐ-CP ngày 10/05/2013.</t>
        </is>
      </c>
      <c r="F10" s="6" t="n">
        <v>4</v>
      </c>
      <c r="G10" s="6" t="inlineStr">
        <is>
          <t>Mục lục</t>
        </is>
      </c>
      <c r="H10" s="6" t="inlineStr">
        <is>
          <t>45/2013/NĐ-CP | thời giờ | nghỉ ngơi | an toàn</t>
        </is>
      </c>
      <c r="I10" s="6" t="inlineStr">
        <is>
          <t>Medium</t>
        </is>
      </c>
      <c r="J10" s="6" t="inlineStr">
        <is>
          <t>Single Chunk</t>
        </is>
      </c>
      <c r="K10" s="6" t="inlineStr">
        <is>
          <t>Yes</t>
        </is>
      </c>
      <c r="L10" s="6" t="inlineStr">
        <is>
          <t>Answer from document</t>
        </is>
      </c>
      <c r="M10" s="6" t="inlineStr">
        <is>
          <t>typo of LAW_C_013</t>
        </is>
      </c>
      <c r="N10" s="6" t="n"/>
      <c r="O10" s="6" t="n"/>
      <c r="P10" s="6" t="n"/>
      <c r="Q10" s="6" t="inlineStr">
        <is>
          <t>luu-ban-nhap-tu-dong-3-4</t>
        </is>
      </c>
      <c r="R10" s="6" t="inlineStr">
        <is>
          <t>Dựa trên tài liệu được cung cấp, văn bản quy định chi tiết một số điều của Bộ luật Lao động về thời giờ làm việc, thời giờ nghỉ ngơi và an toàn lao động, vệ sinh lao động là **Nghị định số 46/2013/NĐ-CP** ngày 10 tháng 05 năm 2013 của Chính phủ [SOURCE_1]. 
Bên cạnh đó, **Nghị định** quy định chi tiết một số điều của Bộ luật lao động về thời giờ làm việc, thời giờ nghỉ ngơi và an toàn lao động, vệ sinh lao động (căn cứ theo Bộ luật lao động ngày 18 tháng 6 năm 2012) cũng được đề cập trong tài liệu [SOURCE_3].</t>
        </is>
      </c>
      <c r="S10" s="6" t="inlineStr">
        <is>
          <t>[SOURCE_1] so-tay-kien-thuc-phap-luat-lao-dong-cdi | tr.52 | Lĩnh vực việc làm | 0.9929
[SOURCE_3] luu-ban-nhap-tu-dong-3-4 | tr.556 | NGHỊ ĐỊNH | 0.9903</t>
        </is>
      </c>
      <c r="T10" s="6" t="inlineStr">
        <is>
          <t>[SOURCE_1] so-tay-kien-thuc-phap-luat-lao-dong-cdi | tr.52 | Lĩnh vực việc làm | 0.9929
[SOURCE_2] luu-ban-nhap-tu-dong-3-4 | tr.568 | Chương IV &gt; QUAN LÝ NHAN UOC VE THOI GIO LAM VIEC, THOI GIO  | 0.9924
[SOURCE_3] luu-ban-nhap-tu-dong-3-4 | tr.556 | NGHỊ ĐỊNH | 0.9903
[SOURCE_4] luu-ban-nhap-tu-dong-3-4 | tr.570 | . ChươngV DIEU KHOAN THI HANH &gt; Điều 26. Hiệu lực thi hành | 0.988
[SOURCE_5] luu-ban-nhap-tu-dong-3-4 | tr.568 | Chương IV &gt; QUAN LÝ NHAN UOC VE THOI GIO LAM VIEC, THOI GIO  | 0.9864</t>
        </is>
      </c>
      <c r="U10" s="6" t="inlineStr">
        <is>
          <t>gemini-3.5-flash-lite</t>
        </is>
      </c>
      <c r="V10" s="6" t="n">
        <v>17.2</v>
      </c>
      <c r="W10" s="7" t="n">
        <v>0.75</v>
      </c>
      <c r="X10" s="7" t="n">
        <v>0.9090909090909091</v>
      </c>
      <c r="Y10" s="6" t="inlineStr">
        <is>
          <t>Yes</t>
        </is>
      </c>
      <c r="Z10" s="6" t="inlineStr">
        <is>
          <t>No</t>
        </is>
      </c>
      <c r="AA10" s="6" t="inlineStr">
        <is>
          <t>PASS</t>
        </is>
      </c>
      <c r="AB10" s="6" t="inlineStr">
        <is>
          <t>Không trích đúng trang 4 (±1)</t>
        </is>
      </c>
      <c r="AC10" s="6" t="n"/>
      <c r="AD10" s="6">
        <f>IF(AC10="",AA10,AC10)</f>
        <v/>
      </c>
      <c r="AE10" s="6" t="n"/>
      <c r="AF10" s="6" t="n"/>
    </row>
    <row r="11">
      <c r="A11" s="6" t="inlineStr">
        <is>
          <t>ROB_C_010</t>
        </is>
      </c>
      <c r="B11" s="6" t="inlineStr">
        <is>
          <t>Direct Fact</t>
        </is>
      </c>
      <c r="C11" s="6" t="inlineStr">
        <is>
          <t>Nghi dinh nao trong muc luc quy dinh chi tiet ve hop dong lao dong?</t>
        </is>
      </c>
      <c r="D11" s="6" t="inlineStr">
        <is>
          <t>Nghị định số 44/2013/NĐ-CP ngày 10/05/2013.</t>
        </is>
      </c>
      <c r="E11" s="6" t="inlineStr">
        <is>
          <t>Căn cứ: phần “Mục lục”, trang 4. Nội dung được tài liệu xác nhận: Nghị định số 44/2013/NĐ-CP ngày 10/05/2013.</t>
        </is>
      </c>
      <c r="F11" s="6" t="n">
        <v>4</v>
      </c>
      <c r="G11" s="6" t="inlineStr">
        <is>
          <t>Mục lục</t>
        </is>
      </c>
      <c r="H11" s="6" t="inlineStr">
        <is>
          <t>44/2013/NĐ-CP | hợp đồng lao động</t>
        </is>
      </c>
      <c r="I11" s="6" t="inlineStr">
        <is>
          <t>Easy</t>
        </is>
      </c>
      <c r="J11" s="6" t="inlineStr">
        <is>
          <t>Single Chunk</t>
        </is>
      </c>
      <c r="K11" s="6" t="inlineStr">
        <is>
          <t>Yes</t>
        </is>
      </c>
      <c r="L11" s="6" t="inlineStr">
        <is>
          <t>Answer from document</t>
        </is>
      </c>
      <c r="M11" s="6" t="inlineStr">
        <is>
          <t>no diacritics of LAW_C_006</t>
        </is>
      </c>
      <c r="N11" s="6" t="n"/>
      <c r="O11" s="6" t="n"/>
      <c r="P11" s="6" t="n"/>
      <c r="Q11" s="6" t="inlineStr">
        <is>
          <t>luu-ban-nhap-tu-dong-3-4</t>
        </is>
      </c>
      <c r="R11" s="6" t="inlineStr">
        <is>
          <t>Dựa trên tài liệu được cung cấp, Chính phủ ban hành Nghị định quy định chi tiết thi hành một số điều của Bộ luật lao động về hợp đồng lao động [SOURCE_1].</t>
        </is>
      </c>
      <c r="S11" s="6" t="inlineStr">
        <is>
          <t>[SOURCE_1] luu-ban-nhap-tu-dong-3-4 | tr.572 | NGHI DINH | 0.7572</t>
        </is>
      </c>
      <c r="T11" s="6" t="inlineStr">
        <is>
          <t>[SOURCE_1] luu-ban-nhap-tu-dong-3-4 | tr.572 | NGHI DINH | 0.7572</t>
        </is>
      </c>
      <c r="U11" s="6" t="inlineStr">
        <is>
          <t>gemini-3.5-flash-lite</t>
        </is>
      </c>
      <c r="V11" s="6" t="n">
        <v>16.2</v>
      </c>
      <c r="W11" s="7" t="n">
        <v>0.5</v>
      </c>
      <c r="X11" s="7" t="n">
        <v>0.2727272727272727</v>
      </c>
      <c r="Y11" s="6" t="inlineStr">
        <is>
          <t>Yes</t>
        </is>
      </c>
      <c r="Z11" s="6" t="inlineStr">
        <is>
          <t>No</t>
        </is>
      </c>
      <c r="AA11" s="6" t="inlineStr">
        <is>
          <t>PARTIAL</t>
        </is>
      </c>
      <c r="AB11" s="6" t="inlineStr">
        <is>
          <t>Thiếu từ khóa (50%); Ít khớp Expected Answer (27%); Không trích đúng trang 4 (±1)</t>
        </is>
      </c>
      <c r="AC11" s="6" t="n"/>
      <c r="AD11" s="6">
        <f>IF(AC11="",AA11,AC11)</f>
        <v/>
      </c>
      <c r="AE11" s="6" t="n"/>
      <c r="AF11" s="6" t="n"/>
    </row>
    <row r="12">
      <c r="A12" s="6" t="inlineStr">
        <is>
          <t>ROB_C_011</t>
        </is>
      </c>
      <c r="B12" s="6" t="inlineStr">
        <is>
          <t>Navigation</t>
        </is>
      </c>
      <c r="C12" s="6" t="inlineStr">
        <is>
          <t>Muon tra danh muc cong viec nhe duoc su dung nguoi duoi 15 tuoi, tai lieu liet ke thong tu nao?</t>
        </is>
      </c>
      <c r="D12" s="6" t="inlineStr">
        <is>
          <t>Thông tư số 11/2013/TT-BLĐTBXH ngày 11/06/2013.</t>
        </is>
      </c>
      <c r="E12" s="6" t="inlineStr">
        <is>
          <t>Căn cứ: phần “Mục lục”, trang 5. Nội dung được tài liệu xác nhận: Thông tư số 11/2013/TT-BLĐTBXH ngày 11/06/2013.</t>
        </is>
      </c>
      <c r="F12" s="6" t="n">
        <v>5</v>
      </c>
      <c r="G12" s="6" t="inlineStr">
        <is>
          <t>Mục lục</t>
        </is>
      </c>
      <c r="H12" s="6" t="inlineStr">
        <is>
          <t>11/2013/TT-BLĐTBXH | dưới 15 tuổi</t>
        </is>
      </c>
      <c r="I12" s="6" t="inlineStr">
        <is>
          <t>Medium</t>
        </is>
      </c>
      <c r="J12" s="6" t="inlineStr">
        <is>
          <t>Single Chunk</t>
        </is>
      </c>
      <c r="K12" s="6" t="inlineStr">
        <is>
          <t>Yes</t>
        </is>
      </c>
      <c r="L12" s="6" t="inlineStr">
        <is>
          <t>Answer from document</t>
        </is>
      </c>
      <c r="M12" s="6" t="inlineStr">
        <is>
          <t>no diacritics of LAW_C_014</t>
        </is>
      </c>
      <c r="N12" s="6" t="n"/>
      <c r="O12" s="6" t="n"/>
      <c r="P12" s="6" t="n"/>
      <c r="Q12" s="6" t="inlineStr">
        <is>
          <t>luu-ban-nhap-tu-dong-3-4</t>
        </is>
      </c>
      <c r="R12" s="6" t="inlineStr">
        <is>
          <t>Dựa trên tài liệu được cung cấp, để tra danh mục công việc nhẹ được sử dụng người dưới 15 tuổi làm việc, tài liệu nhắc đến **Thông tư** do Bộ trưởng Bộ Lao động - Thương binh và Xã hội ban hành quy định về danh mục công việc này [SOURCE_1].</t>
        </is>
      </c>
      <c r="S12" s="6" t="inlineStr">
        <is>
          <t>[SOURCE_1] luu-ban-nhap-tu-dong-3-4 | tr.737 | THONG TU | 0.8005</t>
        </is>
      </c>
      <c r="T12" s="6" t="inlineStr">
        <is>
          <t>[SOURCE_1] luu-ban-nhap-tu-dong-3-4 | tr.737 | THONG TU | 0.8005
[SOURCE_2] luu-ban-nhap-tu-dong-3-4 | tr.740 | ĐĂNG KÝ LAN DAU SỬ DUNG NGƯỜI DƯỚI 15 TUỔI LÀM VIỆC TẠI CƠ S | 0.4469</t>
        </is>
      </c>
      <c r="U12" s="6" t="inlineStr">
        <is>
          <t>gemini-3.5-flash-lite</t>
        </is>
      </c>
      <c r="V12" s="6" t="n">
        <v>16.5</v>
      </c>
      <c r="W12" s="7" t="n">
        <v>0.5</v>
      </c>
      <c r="X12" s="7" t="n">
        <v>0.1818181818181818</v>
      </c>
      <c r="Y12" s="6" t="inlineStr">
        <is>
          <t>Yes</t>
        </is>
      </c>
      <c r="Z12" s="6" t="inlineStr">
        <is>
          <t>No</t>
        </is>
      </c>
      <c r="AA12" s="6" t="inlineStr">
        <is>
          <t>PARTIAL</t>
        </is>
      </c>
      <c r="AB12" s="6" t="inlineStr">
        <is>
          <t>Thiếu từ khóa (50%); Ít khớp Expected Answer (18%); Không trích đúng trang 5 (±1)</t>
        </is>
      </c>
      <c r="AC12" s="6" t="n"/>
      <c r="AD12" s="6">
        <f>IF(AC12="",AA12,AC12)</f>
        <v/>
      </c>
      <c r="AE12" s="6" t="n"/>
      <c r="AF12" s="6" t="n"/>
    </row>
    <row r="13">
      <c r="A13" s="6" t="inlineStr">
        <is>
          <t>ROB_C_012</t>
        </is>
      </c>
      <c r="B13" s="6" t="inlineStr">
        <is>
          <t>Navigation</t>
        </is>
      </c>
      <c r="C13" s="6" t="inlineStr">
        <is>
          <t>Muốn tra quy định về tiền lương teho hệ thống văn bản tưrớc BLLĐ 2019, mục lục có văn bản hợp nhất nào?</t>
        </is>
      </c>
      <c r="D13" s="6" t="inlineStr">
        <is>
          <t>VBHN số 4759/VBHN-BLĐTBXH ngày 12/11/2018 hợp nhất Nghị định 49/2013/NĐ-CP và sửa đổi liên quan.</t>
        </is>
      </c>
      <c r="E13" s="6" t="inlineStr">
        <is>
          <t>Căn cứ: phần “Mục lục”, trang 2. Nội dung được tài liệu xác nhận: VBHN số 4759/VBHN-BLĐTBXH ngày 12/11/2018 hợp nhất Nghị định 49/2013/NĐ-CP và sửa đổi liên quan.</t>
        </is>
      </c>
      <c r="F13" s="6" t="n">
        <v>2</v>
      </c>
      <c r="G13" s="6" t="inlineStr">
        <is>
          <t>Mục lục</t>
        </is>
      </c>
      <c r="H13" s="6" t="inlineStr">
        <is>
          <t>4759/VBHN-BLĐTBXH | tiền lương</t>
        </is>
      </c>
      <c r="I13" s="6" t="inlineStr">
        <is>
          <t>Medium</t>
        </is>
      </c>
      <c r="J13" s="6" t="inlineStr">
        <is>
          <t>Single Chunk</t>
        </is>
      </c>
      <c r="K13" s="6" t="inlineStr">
        <is>
          <t>Yes</t>
        </is>
      </c>
      <c r="L13" s="6" t="inlineStr">
        <is>
          <t>Answer from document</t>
        </is>
      </c>
      <c r="M13" s="6" t="inlineStr">
        <is>
          <t>typo of LAW_C_012</t>
        </is>
      </c>
      <c r="N13" s="6" t="n"/>
      <c r="O13" s="6" t="n"/>
      <c r="P13" s="6" t="n"/>
      <c r="Q13" s="6" t="inlineStr">
        <is>
          <t>luu-ban-nhap-tu-dong-3-4</t>
        </is>
      </c>
      <c r="R13" s="6" t="inlineStr">
        <is>
          <t>Dựa trên mục lục của tài liệu được cung cấp, các văn bản hợp nhất liên quan đến tiền lương trước BLLĐ 2019 gồm có:
* Văn bản hợp nhất số 4759/VBHN-CP ngày 14/05/2013 của Chính Phủ quy định chi tiết thi hành một số điều của Bộ luật Lao động về tiền lương [SOURCE_1].
* Văn bản hợp nhất số 4753/VBHN-BLĐTBXH ngày 12/11/2018 hợp nhất Nghị định số 05/2015/NĐ-CP ngày 12/01/2015 của Chính Phủ quy định chi tiết và hướng dẫn thi hành Bộ luật Lao động [SOURCE_1].</t>
        </is>
      </c>
      <c r="S13" s="6" t="inlineStr">
        <is>
          <t>[SOURCE_1] luu-ban-nhap-tu-dong-3-4 | tr.2 | MỤC LỤC | 0.8249</t>
        </is>
      </c>
      <c r="T13" s="6" t="inlineStr">
        <is>
          <t>[SOURCE_1] luu-ban-nhap-tu-dong-3-4 | tr.2 | MỤC LỤC | 0.8249
[SOURCE_2] ILO-VCCI_Labour-Law-Guide-Book-V04-Final | tr.22 | 10. Học nghề, tập nghề và hợp đồng đào tạo nghề | 0.5981
[SOURCE_3] luu-ban-nhap-tu-dong-3-4 | tr.413 | XÁC THỰC VĂN BẢN HỢP NHẤT KT. BỘ TRƯỞNG THỨ TRƯỞNG | 0.4995
[SOURCE_4] ILO-VCCI_Labour-Law-Guide-Book-V04-Final | tr.93 | II. THANG LƯƠNG, BẢNG LƯƠNG VÀ ĐỊNH MỨC LAO ĐỘNG &gt; 1. Các ng | 0.449</t>
        </is>
      </c>
      <c r="U13" s="6" t="inlineStr">
        <is>
          <t>gemini-3.5-flash-lite</t>
        </is>
      </c>
      <c r="V13" s="6" t="n">
        <v>20</v>
      </c>
      <c r="W13" s="7" t="n">
        <v>1</v>
      </c>
      <c r="X13" s="7" t="n">
        <v>0.8571428571428571</v>
      </c>
      <c r="Y13" s="6" t="inlineStr">
        <is>
          <t>Yes</t>
        </is>
      </c>
      <c r="Z13" s="6" t="inlineStr">
        <is>
          <t>Yes</t>
        </is>
      </c>
      <c r="AA13" s="6" t="inlineStr">
        <is>
          <t>PASS</t>
        </is>
      </c>
      <c r="AB13" s="6" t="inlineStr"/>
      <c r="AC13" s="6" t="n"/>
      <c r="AD13" s="6">
        <f>IF(AC13="",AA13,AC13)</f>
        <v/>
      </c>
      <c r="AE13" s="6" t="n"/>
      <c r="AF13" s="6" t="n"/>
    </row>
    <row r="14">
      <c r="A14" s="6" t="inlineStr">
        <is>
          <t>ROB_D_013</t>
        </is>
      </c>
      <c r="B14" s="6" t="inlineStr">
        <is>
          <t>Navigation</t>
        </is>
      </c>
      <c r="C14" s="6" t="inlineStr">
        <is>
          <t>Cau hoi doanh nghiep cho thoi viec do thay doi co cau, cong nghe hoac ly do kinh te can truy xuat phan nao?</t>
        </is>
      </c>
      <c r="D14" s="6" t="inlineStr">
        <is>
          <t>Phần III về chấm dứt HĐLĐ do thay đổi cơ cấu, công nghệ hoặc vì lý do kinh tế, gồm căn cứ và quy trình cho thôi việc.</t>
        </is>
      </c>
      <c r="E14" s="6" t="inlineStr">
        <is>
          <t>Căn cứ: phần “Chấm dứt HĐLĐ”, trang 6. Nội dung được tài liệu xác nhận: Phần III về chấm dứt HĐLĐ do thay đổi cơ cấu, công nghệ hoặc vì lý do kinh tế, gồm căn cứ và quy trình cho thôi việc.</t>
        </is>
      </c>
      <c r="F14" s="6" t="n">
        <v>6</v>
      </c>
      <c r="G14" s="6" t="inlineStr">
        <is>
          <t>Chấm dứt HĐLĐ</t>
        </is>
      </c>
      <c r="H14" s="6" t="inlineStr">
        <is>
          <t>cơ cấu | công nghệ | lý do kinh tế | cho thôi việc</t>
        </is>
      </c>
      <c r="I14" s="6" t="inlineStr">
        <is>
          <t>Medium</t>
        </is>
      </c>
      <c r="J14" s="6" t="inlineStr">
        <is>
          <t>Single Chunk</t>
        </is>
      </c>
      <c r="K14" s="6" t="inlineStr">
        <is>
          <t>Yes</t>
        </is>
      </c>
      <c r="L14" s="6" t="inlineStr">
        <is>
          <t>Answer from document</t>
        </is>
      </c>
      <c r="M14" s="6" t="inlineStr">
        <is>
          <t>no diacritics of LAW_D_011</t>
        </is>
      </c>
      <c r="N14" s="6" t="n"/>
      <c r="O14" s="6" t="n"/>
      <c r="P14" s="6" t="n"/>
      <c r="Q14" s="6" t="inlineStr">
        <is>
          <t>ILO-VCCI_Labour-Law-Guide-Book-V04-Final</t>
        </is>
      </c>
      <c r="R14" s="6" t="inlineStr">
        <is>
          <t>Dựa trên tài liệu được cung cấp, việc chấm dứt hợp đồng lao động (HĐLĐ) do thay đổi cơ cấu, công nghệ hoặc vì lý do kinh tế được quy định tại Mục III (từ trang 33) và Mục 5 (trang 38) của tài liệu [SOURCE_1], [SOURCE_3]. 
Cụ thể, các nội dung và vấn đề cần truy xuất gồm có:
* **Mục đích và điều kiện chung:** Nằm ở phần III, trình bày về mục đích của việc chấm dứt HĐLĐ (nhằm phù hợp với nhu cầu quản lý, vận hành, nâng cao hiệu suất và lợi thế cạnh tranh của doanh nghiệp) và điều kiện khi sự thay đổi ảnh hưởng đến việc làm của từ hai người lao động trở lên [SOURCE_1].
* **Các hình thức và lưu ý thực tế:** Nằm ở phần 5(a), trình bày về các hình thức thay đổi cơ cấu, công nghệ phổ biến của doanh nghiệp (như giải thể hoàn toàn một bộ phận, hợp nhất các phòng ban, đổi tên, tách nhỏ hoặc gộp chung các bộ phận/phòng ban) và những lưu ý về việc đánh giá của cơ quan quản lý lao động hoặc Tòa án khi có tranh chấp do pháp luật chưa có quy định hướng dẫn rõ ràng [SOURCE_2], [SOURCE_3].</t>
        </is>
      </c>
      <c r="S14" s="6" t="inlineStr">
        <is>
          <t>[SOURCE_1] ILO-VCCI_Labour-Law-Guide-Book-V04-Final | tr.33 | III. CHẤM DỨT HĐLĐ DO THAY ĐỔI CƠ CẤU, CÔNG NGHỆ HOẶC VÌ LÝ  | 0.7476
[SOURCE_2] ILO-VCCI_Labour-Law-Guide-Book-V04-Final | tr.38 | 5. Các vấn đề cần lưu ý khi chấm dứt HĐLĐ do thay đổi cơ cấu | 0.6045
[SOURCE_3] ILO-VCCI_Labour-Law-Guide-Book-V04-Final | tr.38 | 5. Các vấn đề cần lưu ý khi chấm dứt HĐLĐ do thay đổi cơ cấu | 0.371</t>
        </is>
      </c>
      <c r="T14" s="6" t="inlineStr">
        <is>
          <t>[SOURCE_1] ILO-VCCI_Labour-Law-Guide-Book-V04-Final | tr.33 | III. CHẤM DỨT HĐLĐ DO THAY ĐỔI CƠ CẤU, CÔNG NGHỆ HOẶC VÌ LÝ  | 0.7476
[SOURCE_2] ILO-VCCI_Labour-Law-Guide-Book-V04-Final | tr.38 | 5. Các vấn đề cần lưu ý khi chấm dứt HĐLĐ do thay đổi cơ cấu | 0.6045
[SOURCE_3] ILO-VCCI_Labour-Law-Guide-Book-V04-Final | tr.38 | 5. Các vấn đề cần lưu ý khi chấm dứt HĐLĐ do thay đổi cơ cấu | 0.371</t>
        </is>
      </c>
      <c r="U14" s="6" t="inlineStr">
        <is>
          <t>gemini-3.5-flash-lite</t>
        </is>
      </c>
      <c r="V14" s="6" t="n">
        <v>20.9</v>
      </c>
      <c r="W14" s="7" t="n">
        <v>0.75</v>
      </c>
      <c r="X14" s="7" t="n">
        <v>0.8846153846153846</v>
      </c>
      <c r="Y14" s="6" t="inlineStr">
        <is>
          <t>Yes</t>
        </is>
      </c>
      <c r="Z14" s="6" t="inlineStr">
        <is>
          <t>No</t>
        </is>
      </c>
      <c r="AA14" s="6" t="inlineStr">
        <is>
          <t>PASS</t>
        </is>
      </c>
      <c r="AB14" s="6" t="inlineStr">
        <is>
          <t>Không trích đúng trang 6 (±1)</t>
        </is>
      </c>
      <c r="AC14" s="6" t="n"/>
      <c r="AD14" s="6">
        <f>IF(AC14="",AA14,AC14)</f>
        <v/>
      </c>
      <c r="AE14" s="6" t="n"/>
      <c r="AF14" s="6" t="n"/>
    </row>
    <row r="15">
      <c r="A15" s="6" t="inlineStr">
        <is>
          <t>ROB_D_014</t>
        </is>
      </c>
      <c r="B15" s="6" t="inlineStr">
        <is>
          <t>Multi-hop</t>
        </is>
      </c>
      <c r="C15" s="6" t="inlineStr">
        <is>
          <t>Mot cau hoi ve lam them vao ngay le vua lien quan thoi gio nghi vua lien quan tien luong. Cam nang dinh huong retrieval qua nhung nhom noi dung nao?</t>
        </is>
      </c>
      <c r="D15" s="6" t="inlineStr">
        <is>
          <t>Cần kết hợp phần ngày nghỉ lễ, tết/quy định làm thêm giờ với phần tiền lương, đặc biệt tiền lương làm thêm giờ và làm việc ban đêm.</t>
        </is>
      </c>
      <c r="E15" s="6" t="inlineStr">
        <is>
          <t>Căn cứ: phần “Nghỉ lễ/tết + Tiền lương”, trang 4. Nội dung được tài liệu xác nhận: Cần kết hợp phần ngày nghỉ lễ, tết/quy định làm thêm giờ với phần tiền lương, đặc biệt tiền lương làm thêm giờ và làm việc ban đêm.</t>
        </is>
      </c>
      <c r="F15" s="6" t="n">
        <v>4</v>
      </c>
      <c r="G15" s="6" t="inlineStr">
        <is>
          <t>Nghỉ lễ/tết + Tiền lương</t>
        </is>
      </c>
      <c r="H15" s="6" t="inlineStr">
        <is>
          <t>ngày lễ | làm thêm | tiền lương</t>
        </is>
      </c>
      <c r="I15" s="6" t="inlineStr">
        <is>
          <t>Hard</t>
        </is>
      </c>
      <c r="J15" s="6" t="inlineStr">
        <is>
          <t>Multiple Chunks</t>
        </is>
      </c>
      <c r="K15" s="6" t="inlineStr">
        <is>
          <t>Yes</t>
        </is>
      </c>
      <c r="L15" s="6" t="inlineStr">
        <is>
          <t>Answer from document</t>
        </is>
      </c>
      <c r="M15" s="6" t="inlineStr">
        <is>
          <t>no diacritics of LAW_D_016</t>
        </is>
      </c>
      <c r="N15" s="6" t="n"/>
      <c r="O15" s="6" t="n"/>
      <c r="P15" s="6" t="n"/>
      <c r="Q15" s="6" t="inlineStr">
        <is>
          <t>ILO-VCCI_Labour-Law-Guide-Book-V04-Final</t>
        </is>
      </c>
      <c r="R15" s="6" t="inlineStr">
        <is>
          <t>Dựa trên tài liệu được cung cấp, tôi không tìm thấy thông tin để trả lời câu hỏi này.</t>
        </is>
      </c>
      <c r="S15" s="6" t="inlineStr"/>
      <c r="T15" s="6" t="inlineStr"/>
      <c r="U15" s="6" t="inlineStr">
        <is>
          <t>(no LLM call: early exit)</t>
        </is>
      </c>
      <c r="V15" s="6" t="n">
        <v>15.8</v>
      </c>
      <c r="W15" s="7" t="n">
        <v>0</v>
      </c>
      <c r="X15" s="7" t="n">
        <v>0</v>
      </c>
      <c r="Y15" s="6" t="inlineStr">
        <is>
          <t>No</t>
        </is>
      </c>
      <c r="Z15" s="6" t="inlineStr">
        <is>
          <t>No</t>
        </is>
      </c>
      <c r="AA15" s="6" t="inlineStr">
        <is>
          <t>FAIL</t>
        </is>
      </c>
      <c r="AB15" s="6" t="inlineStr">
        <is>
          <t>Từ chối trả lời dù câu hỏi có đáp án</t>
        </is>
      </c>
      <c r="AC15" s="6" t="n"/>
      <c r="AD15" s="6">
        <f>IF(AC15="",AA15,AC15)</f>
        <v/>
      </c>
      <c r="AE15" s="6" t="n"/>
      <c r="AF15" s="6" t="n"/>
    </row>
    <row r="16">
      <c r="A16" s="6" t="inlineStr">
        <is>
          <t>ROB_D_015</t>
        </is>
      </c>
      <c r="B16" s="6" t="inlineStr">
        <is>
          <t>Direct Fact</t>
        </is>
      </c>
      <c r="C16" s="6" t="inlineStr">
        <is>
          <t>Cẩm nnag có chương rêing về xử lý kỷ luật lao động không?</t>
        </is>
      </c>
      <c r="D16" s="6" t="inlineStr">
        <is>
          <t>Có. Chương III là Xử lý kỷ luật lao động.</t>
        </is>
      </c>
      <c r="E16" s="6" t="inlineStr">
        <is>
          <t>Căn cứ: phần “Chương III”, trang 7. Nội dung được tài liệu xác nhận: Có. Chương III là Xử lý kỷ luật lao động.</t>
        </is>
      </c>
      <c r="F16" s="6" t="n">
        <v>7</v>
      </c>
      <c r="G16" s="6" t="inlineStr">
        <is>
          <t>Chương III</t>
        </is>
      </c>
      <c r="H16" s="6" t="inlineStr">
        <is>
          <t>kỷ luật lao động</t>
        </is>
      </c>
      <c r="I16" s="6" t="inlineStr">
        <is>
          <t>Easy</t>
        </is>
      </c>
      <c r="J16" s="6" t="inlineStr">
        <is>
          <t>Single Chunk</t>
        </is>
      </c>
      <c r="K16" s="6" t="inlineStr">
        <is>
          <t>Yes</t>
        </is>
      </c>
      <c r="L16" s="6" t="inlineStr">
        <is>
          <t>Answer from document</t>
        </is>
      </c>
      <c r="M16" s="6" t="inlineStr">
        <is>
          <t>typo of LAW_D_006</t>
        </is>
      </c>
      <c r="N16" s="6" t="n"/>
      <c r="O16" s="6" t="n"/>
      <c r="P16" s="6" t="n"/>
      <c r="Q16" s="6" t="inlineStr">
        <is>
          <t>ILO-VCCI_Labour-Law-Guide-Book-V04-Final</t>
        </is>
      </c>
      <c r="R16" s="6" t="inlineStr">
        <is>
          <t>Có, cẩm nang có riêng Chương III với nội dung về "XỬ LÝ KỶ LUẬT LAO ĐỘNG" [SOURCE_1].</t>
        </is>
      </c>
      <c r="S16" s="6" t="inlineStr">
        <is>
          <t>[SOURCE_1] ILO-VCCI_Labour-Law-Guide-Book-V04-Final | tr.7 | C ẨM NANG THỰC HIỆN BỘ LUẬT LAO ĐỘNG 2019 TẠI DOANH NGHIỆP | 0.9675</t>
        </is>
      </c>
      <c r="T16" s="6" t="inlineStr">
        <is>
          <t>[SOURCE_1] ILO-VCCI_Labour-Law-Guide-Book-V04-Final | tr.7 | C ẨM NANG THỰC HIỆN BỘ LUẬT LAO ĐỘNG 2019 TẠI DOANH NGHIỆP | 0.9675
[SOURCE_2] ILO-VCCI_Labour-Law-Guide-Book-V04-Final | tr.7 | C ẨM NANG THỰC HIỆN BỘ LUẬT LAO ĐỘNG 2019 TẠI DOANH NGHIỆP | 0.946
[SOURCE_3] ILO-VCCI_Labour-Law-Guide-Book-V04-Final | tr.25 | (b) Quy trình xử lý KLLĐ bằng hình thức sa thải | 0.6292
[SOURCE_4] ILO-VCCI_Labour-Law-Guide-Book-V04-Final | tr.9 | C ẨM NANG THỰC HIỆN BỘ LUẬT LAO ĐỘNG 2019 TẠI DOANH NGHIỆP | 0.4516</t>
        </is>
      </c>
      <c r="U16" s="6" t="inlineStr">
        <is>
          <t>gemini-3.5-flash-lite</t>
        </is>
      </c>
      <c r="V16" s="6" t="n">
        <v>21.7</v>
      </c>
      <c r="W16" s="7" t="n">
        <v>1</v>
      </c>
      <c r="X16" s="7" t="n">
        <v>1</v>
      </c>
      <c r="Y16" s="6" t="inlineStr">
        <is>
          <t>Yes</t>
        </is>
      </c>
      <c r="Z16" s="6" t="inlineStr">
        <is>
          <t>Yes</t>
        </is>
      </c>
      <c r="AA16" s="6" t="inlineStr">
        <is>
          <t>PASS</t>
        </is>
      </c>
      <c r="AB16" s="6" t="inlineStr"/>
      <c r="AC16" s="6" t="n"/>
      <c r="AD16" s="6">
        <f>IF(AC16="",AA16,AC16)</f>
        <v/>
      </c>
      <c r="AE16" s="6" t="n"/>
      <c r="AF16" s="6" t="n"/>
    </row>
    <row r="17">
      <c r="A17" s="6" t="inlineStr">
        <is>
          <t>ROB_D_016</t>
        </is>
      </c>
      <c r="B17" s="6" t="inlineStr">
        <is>
          <t>Direct Fact</t>
        </is>
      </c>
      <c r="C17" s="6" t="inlineStr">
        <is>
          <t>Cam nang so sanh chu yeu hai phien ban Bo luat Lao dong nao?</t>
        </is>
      </c>
      <c r="D17" s="6" t="inlineStr">
        <is>
          <t>BLLĐ 2012 và BLLĐ 2019.</t>
        </is>
      </c>
      <c r="E17" s="6" t="inlineStr">
        <is>
          <t>Căn cứ: phần “Lời nói đầu”, trang None. Nội dung được tài liệu xác nhận: BLLĐ 2012 và BLLĐ 2019.</t>
        </is>
      </c>
      <c r="F17" s="6" t="n"/>
      <c r="G17" s="6" t="inlineStr">
        <is>
          <t>Lời nói đầu</t>
        </is>
      </c>
      <c r="H17" s="6" t="inlineStr">
        <is>
          <t>BLLĐ 2012 | BLLĐ 2019</t>
        </is>
      </c>
      <c r="I17" s="6" t="inlineStr">
        <is>
          <t>Easy</t>
        </is>
      </c>
      <c r="J17" s="6" t="inlineStr">
        <is>
          <t>Single Chunk</t>
        </is>
      </c>
      <c r="K17" s="6" t="inlineStr">
        <is>
          <t>Yes</t>
        </is>
      </c>
      <c r="L17" s="6" t="inlineStr">
        <is>
          <t>Answer from document</t>
        </is>
      </c>
      <c r="M17" s="6" t="inlineStr">
        <is>
          <t>no diacritics of LAW_D_002</t>
        </is>
      </c>
      <c r="N17" s="6" t="n"/>
      <c r="O17" s="6" t="n"/>
      <c r="P17" s="6" t="n"/>
      <c r="Q17" s="6" t="inlineStr">
        <is>
          <t>ILO-VCCI_Labour-Law-Guide-Book-V04-Final</t>
        </is>
      </c>
      <c r="R17" s="6" t="inlineStr">
        <is>
          <t>Dựa trên tài liệu được cung cấp, tôi không tìm thấy thông tin để trả lời câu hỏi này.</t>
        </is>
      </c>
      <c r="S17" s="6" t="inlineStr"/>
      <c r="T17" s="6" t="inlineStr"/>
      <c r="U17" s="6" t="inlineStr">
        <is>
          <t>(no LLM call: early exit)</t>
        </is>
      </c>
      <c r="V17" s="6" t="n">
        <v>23.5</v>
      </c>
      <c r="W17" s="7" t="n">
        <v>0</v>
      </c>
      <c r="X17" s="7" t="n">
        <v>0</v>
      </c>
      <c r="Y17" s="6" t="inlineStr">
        <is>
          <t>No</t>
        </is>
      </c>
      <c r="Z17" s="6" t="inlineStr">
        <is>
          <t>n/a</t>
        </is>
      </c>
      <c r="AA17" s="6" t="inlineStr">
        <is>
          <t>FAIL</t>
        </is>
      </c>
      <c r="AB17" s="6" t="inlineStr">
        <is>
          <t>Từ chối trả lời dù câu hỏi có đáp án</t>
        </is>
      </c>
      <c r="AC17" s="6" t="n"/>
      <c r="AD17" s="6">
        <f>IF(AC17="",AA17,AC17)</f>
        <v/>
      </c>
      <c r="AE17" s="6" t="n"/>
      <c r="AF17" s="6" t="n"/>
    </row>
    <row r="18">
      <c r="A18" s="6" t="inlineStr">
        <is>
          <t>ROB_E_017</t>
        </is>
      </c>
      <c r="B18" s="6" t="inlineStr">
        <is>
          <t>Direct Fact</t>
        </is>
      </c>
      <c r="C18" s="6" t="inlineStr">
        <is>
          <t>HDLD xac dinh thoi han toi da bao nhieu thang theo Dieu 20?</t>
        </is>
      </c>
      <c r="D18" s="6" t="inlineStr">
        <is>
          <t>Không quá 36 tháng kể từ thời điểm có hiệu lực của hợp đồng.</t>
        </is>
      </c>
      <c r="E18" s="6" t="inlineStr">
        <is>
          <t>Căn cứ: phần “Điều 20”, trang None. Nội dung được tài liệu xác nhận: Không quá 36 tháng kể từ thời điểm có hiệu lực của hợp đồng.</t>
        </is>
      </c>
      <c r="F18" s="6" t="n"/>
      <c r="G18" s="6" t="inlineStr">
        <is>
          <t>Điều 20</t>
        </is>
      </c>
      <c r="H18" s="6" t="inlineStr">
        <is>
          <t>36 tháng | HĐLĐ xác định thời hạn</t>
        </is>
      </c>
      <c r="I18" s="6" t="inlineStr">
        <is>
          <t>Easy</t>
        </is>
      </c>
      <c r="J18" s="6" t="inlineStr">
        <is>
          <t>Single Chunk</t>
        </is>
      </c>
      <c r="K18" s="6" t="inlineStr">
        <is>
          <t>Yes</t>
        </is>
      </c>
      <c r="L18" s="6" t="inlineStr">
        <is>
          <t>Answer from document</t>
        </is>
      </c>
      <c r="M18" s="6" t="inlineStr">
        <is>
          <t>no diacritics of LAW_E_006</t>
        </is>
      </c>
      <c r="N18" s="6" t="n"/>
      <c r="O18" s="6" t="n"/>
      <c r="P18" s="6" t="n"/>
      <c r="Q18" s="6" t="inlineStr">
        <is>
          <t>Văn-bản-hợp-nhất-18-VBHN-VPQH</t>
        </is>
      </c>
      <c r="R18" s="6" t="inlineStr">
        <is>
          <t>Dựa trên tài liệu được cung cấp, tôi không tìm thấy thông tin để trả lời câu hỏi này.</t>
        </is>
      </c>
      <c r="S18" s="6" t="inlineStr"/>
      <c r="T18" s="6" t="inlineStr"/>
      <c r="U18" s="6" t="inlineStr">
        <is>
          <t>(no LLM call: early exit)</t>
        </is>
      </c>
      <c r="V18" s="6" t="n">
        <v>20.1</v>
      </c>
      <c r="W18" s="7" t="n">
        <v>0</v>
      </c>
      <c r="X18" s="7" t="n">
        <v>0</v>
      </c>
      <c r="Y18" s="6" t="inlineStr">
        <is>
          <t>No</t>
        </is>
      </c>
      <c r="Z18" s="6" t="inlineStr">
        <is>
          <t>n/a</t>
        </is>
      </c>
      <c r="AA18" s="6" t="inlineStr">
        <is>
          <t>FAIL</t>
        </is>
      </c>
      <c r="AB18" s="6" t="inlineStr">
        <is>
          <t>Từ chối trả lời dù câu hỏi có đáp án</t>
        </is>
      </c>
      <c r="AC18" s="6" t="n"/>
      <c r="AD18" s="6">
        <f>IF(AC18="",AA18,AC18)</f>
        <v/>
      </c>
      <c r="AE18" s="6" t="n"/>
      <c r="AF18" s="6" t="n"/>
    </row>
    <row r="19">
      <c r="A19" s="6" t="inlineStr">
        <is>
          <t>ROB_E_018</t>
        </is>
      </c>
      <c r="B19" s="6" t="inlineStr">
        <is>
          <t>Scenario-based</t>
        </is>
      </c>
      <c r="C19" s="6" t="inlineStr">
        <is>
          <t>Một NLĐ làm thêm vào ngày nghỉ hằng tuần. Mức trả tối tihểu teho Điều 98 là bao nhiêu?</t>
        </is>
      </c>
      <c r="D19" s="6" t="inlineStr">
        <is>
          <t>Ít nhất bằng 200% đơn giá tiền lương hoặc tiền lương thực trả theo công việc đang làm.</t>
        </is>
      </c>
      <c r="E19" s="6" t="inlineStr">
        <is>
          <t>Căn cứ: phần “Điều 98”, trang 38. Nội dung được tài liệu xác nhận: Ít nhất bằng 200% đơn giá tiền lương hoặc tiền lương thực trả theo công việc đang làm.</t>
        </is>
      </c>
      <c r="F19" s="6" t="n">
        <v>38</v>
      </c>
      <c r="G19" s="6" t="inlineStr">
        <is>
          <t>Điều 98</t>
        </is>
      </c>
      <c r="H19" s="6" t="inlineStr">
        <is>
          <t>200% | ngày nghỉ hằng tuần</t>
        </is>
      </c>
      <c r="I19" s="6" t="inlineStr">
        <is>
          <t>Hard</t>
        </is>
      </c>
      <c r="J19" s="6" t="inlineStr">
        <is>
          <t>Single Chunk</t>
        </is>
      </c>
      <c r="K19" s="6" t="inlineStr">
        <is>
          <t>Yes</t>
        </is>
      </c>
      <c r="L19" s="6" t="inlineStr">
        <is>
          <t>Answer from document</t>
        </is>
      </c>
      <c r="M19" s="6" t="inlineStr">
        <is>
          <t>typo of LAW_E_015</t>
        </is>
      </c>
      <c r="N19" s="6" t="n"/>
      <c r="O19" s="6" t="n"/>
      <c r="P19" s="6" t="n"/>
      <c r="Q19" s="6" t="inlineStr">
        <is>
          <t>Văn-bản-hợp-nhất-18-VBHN-VPQH</t>
        </is>
      </c>
      <c r="R19" s="6" t="inlineStr">
        <is>
          <t>Dựa trên tài liệu được cung cấp, người lao động làm thêm giờ vào ngày nghỉ hằng tuần được trả mức ít nhất bằng 200% [SOURCE_1], [SOURCE_2], [SOURCE_3], [SOURCE_4].</t>
        </is>
      </c>
      <c r="S19" s="6" t="inlineStr">
        <is>
          <t>[SOURCE_1] Văn-bản-hợp-nhất-18-VBHN-VPQH | tr.38 | Điều 98. Tiền lương làm thêm giờ, làm việc vào ban đêm | 0.9708
[SOURCE_2] so-tay-kien-thuc-phap-luat-lao-dong-cdi | tr.19 | Trả lời: | 0.8469
[SOURCE_3] ILO-VCCI_Labour-Law-Guide-Book-V04-Final | tr.100 | 1. Tiền lương làm thêm giờ225 &gt; (a) Đối với NLĐ hưởng lương  | 0.7919
[SOURCE_4] ILO-VCCI_Labour-Law-Guide-Book-V04-Final | tr.101 | (b) Đối với NLĐ hưởng lương theo sản phẩm | 0.7786</t>
        </is>
      </c>
      <c r="T19" s="6" t="inlineStr">
        <is>
          <t>[SOURCE_1] Văn-bản-hợp-nhất-18-VBHN-VPQH | tr.38 | Điều 98. Tiền lương làm thêm giờ, làm việc vào ban đêm | 0.9708
[SOURCE_2] so-tay-kien-thuc-phap-luat-lao-dong-cdi | tr.19 | Trả lời: | 0.8469
[SOURCE_3] ILO-VCCI_Labour-Law-Guide-Book-V04-Final | tr.100 | 1. Tiền lương làm thêm giờ225 &gt; (a) Đối với NLĐ hưởng lương  | 0.7919
[SOURCE_4] ILO-VCCI_Labour-Law-Guide-Book-V04-Final | tr.101 | (b) Đối với NLĐ hưởng lương theo sản phẩm | 0.7786
[SOURCE_5] ILO-VCCI_Labour-Law-Guide-Book-V04-Final | tr.99 | 1. Tiền lương làm thêm giờ225 &gt; (a) Đối với NLĐ hưởng lương  | 0.5604</t>
        </is>
      </c>
      <c r="U19" s="6" t="inlineStr">
        <is>
          <t>gemini-3.5-flash-lite</t>
        </is>
      </c>
      <c r="V19" s="6" t="n">
        <v>15.5</v>
      </c>
      <c r="W19" s="7" t="n">
        <v>1</v>
      </c>
      <c r="X19" s="7" t="n">
        <v>0.4</v>
      </c>
      <c r="Y19" s="6" t="inlineStr">
        <is>
          <t>Yes</t>
        </is>
      </c>
      <c r="Z19" s="6" t="inlineStr">
        <is>
          <t>Yes</t>
        </is>
      </c>
      <c r="AA19" s="6" t="inlineStr">
        <is>
          <t>PARTIAL</t>
        </is>
      </c>
      <c r="AB19" s="6" t="inlineStr">
        <is>
          <t>Ít khớp Expected Answer (40%)</t>
        </is>
      </c>
      <c r="AC19" s="6" t="n"/>
      <c r="AD19" s="6">
        <f>IF(AC19="",AA19,AC19)</f>
        <v/>
      </c>
      <c r="AE19" s="6" t="n"/>
      <c r="AF19" s="6" t="n"/>
    </row>
    <row r="20">
      <c r="A20" s="6" t="inlineStr">
        <is>
          <t>ROB_E_019</t>
        </is>
      </c>
      <c r="B20" s="6" t="inlineStr">
        <is>
          <t>Definition</t>
        </is>
      </c>
      <c r="C20" s="6" t="inlineStr">
        <is>
          <t>Theo Dieu 3, nguoi lao dong duoc dinh nghia nhu the nao?</t>
        </is>
      </c>
      <c r="D20" s="6" t="inlineStr">
        <is>
          <t>Là người làm việc cho NSDLĐ theo thỏa thuận, được trả lương và chịu sự quản lý, điều hành, giám sát của NSDLĐ.</t>
        </is>
      </c>
      <c r="E20" s="6" t="inlineStr">
        <is>
          <t>Căn cứ: phần “Điều 3”, trang 2. Nội dung được tài liệu xác nhận: Là người làm việc cho NSDLĐ theo thỏa thuận, được trả lương và chịu sự quản lý, điều hành, giám sát của NSDLĐ.</t>
        </is>
      </c>
      <c r="F20" s="6" t="n">
        <v>2</v>
      </c>
      <c r="G20" s="6" t="inlineStr">
        <is>
          <t>Điều 3</t>
        </is>
      </c>
      <c r="H20" s="6" t="inlineStr">
        <is>
          <t>thỏa thuận | trả lương | quản lý | điều hành | giám sát</t>
        </is>
      </c>
      <c r="I20" s="6" t="inlineStr">
        <is>
          <t>Easy</t>
        </is>
      </c>
      <c r="J20" s="6" t="inlineStr">
        <is>
          <t>Single Chunk</t>
        </is>
      </c>
      <c r="K20" s="6" t="inlineStr">
        <is>
          <t>Yes</t>
        </is>
      </c>
      <c r="L20" s="6" t="inlineStr">
        <is>
          <t>Answer from document</t>
        </is>
      </c>
      <c r="M20" s="6" t="inlineStr">
        <is>
          <t>no diacritics of LAW_E_002</t>
        </is>
      </c>
      <c r="N20" s="6" t="n"/>
      <c r="O20" s="6" t="n"/>
      <c r="P20" s="6" t="n"/>
      <c r="Q20" s="6" t="inlineStr">
        <is>
          <t>Văn-bản-hợp-nhất-18-VBHN-VPQH</t>
        </is>
      </c>
      <c r="R20" s="6" t="inlineStr">
        <is>
          <t>Dựa trên tài liệu được cung cấp, tôi không tìm thấy thông tin để trả lời câu hỏi này.</t>
        </is>
      </c>
      <c r="S20" s="6" t="inlineStr"/>
      <c r="T20" s="6" t="inlineStr"/>
      <c r="U20" s="6" t="inlineStr">
        <is>
          <t>(no LLM call: early exit)</t>
        </is>
      </c>
      <c r="V20" s="6" t="n">
        <v>15.4</v>
      </c>
      <c r="W20" s="7" t="n">
        <v>0</v>
      </c>
      <c r="X20" s="7" t="n">
        <v>0.04</v>
      </c>
      <c r="Y20" s="6" t="inlineStr">
        <is>
          <t>No</t>
        </is>
      </c>
      <c r="Z20" s="6" t="inlineStr">
        <is>
          <t>No</t>
        </is>
      </c>
      <c r="AA20" s="6" t="inlineStr">
        <is>
          <t>FAIL</t>
        </is>
      </c>
      <c r="AB20" s="6" t="inlineStr">
        <is>
          <t>Từ chối trả lời dù câu hỏi có đáp án</t>
        </is>
      </c>
      <c r="AC20" s="6" t="n"/>
      <c r="AD20" s="6">
        <f>IF(AC20="",AA20,AC20)</f>
        <v/>
      </c>
      <c r="AE20" s="6" t="n"/>
      <c r="AF20" s="6" t="n"/>
    </row>
    <row r="21">
      <c r="A21" s="6" t="inlineStr">
        <is>
          <t>ROB_E_020</t>
        </is>
      </c>
      <c r="B21" s="6" t="inlineStr">
        <is>
          <t>Direct Fact</t>
        </is>
      </c>
      <c r="C21" s="6" t="inlineStr">
        <is>
          <t>Co ap dung thu viec voi HDLD duoi 01 thang khong?</t>
        </is>
      </c>
      <c r="D21" s="6" t="inlineStr">
        <is>
          <t>Không. Điều 24 quy định không áp dụng thử việc với NLĐ giao kết HĐLĐ có thời hạn dưới 01 tháng.</t>
        </is>
      </c>
      <c r="E21" s="6" t="inlineStr">
        <is>
          <t>Căn cứ: phần “Điều 24”, trang 11. Nội dung được tài liệu xác nhận: Không. Điều 24 quy định không áp dụng thử việc với NLĐ giao kết HĐLĐ có thời hạn dưới 01 tháng.</t>
        </is>
      </c>
      <c r="F21" s="6" t="n">
        <v>11</v>
      </c>
      <c r="G21" s="6" t="inlineStr">
        <is>
          <t>Điều 24</t>
        </is>
      </c>
      <c r="H21" s="6" t="inlineStr">
        <is>
          <t>không thử việc | dưới 01 tháng</t>
        </is>
      </c>
      <c r="I21" s="6" t="inlineStr">
        <is>
          <t>Easy</t>
        </is>
      </c>
      <c r="J21" s="6" t="inlineStr">
        <is>
          <t>Single Chunk</t>
        </is>
      </c>
      <c r="K21" s="6" t="inlineStr">
        <is>
          <t>Yes</t>
        </is>
      </c>
      <c r="L21" s="6" t="inlineStr">
        <is>
          <t>Answer from document</t>
        </is>
      </c>
      <c r="M21" s="6" t="inlineStr">
        <is>
          <t>no diacritics of LAW_E_007</t>
        </is>
      </c>
      <c r="N21" s="6" t="n"/>
      <c r="O21" s="6" t="n"/>
      <c r="P21" s="6" t="n"/>
      <c r="Q21" s="6" t="inlineStr">
        <is>
          <t>Văn-bản-hợp-nhất-18-VBHN-VPQH</t>
        </is>
      </c>
      <c r="R21" s="6" t="inlineStr">
        <is>
          <t>Dựa trên tài liệu được cung cấp, tôi không tìm thấy thông tin để trả lời câu hỏi này.</t>
        </is>
      </c>
      <c r="S21" s="6" t="inlineStr"/>
      <c r="T21" s="6" t="inlineStr"/>
      <c r="U21" s="6" t="inlineStr">
        <is>
          <t>(no LLM call: early exit)</t>
        </is>
      </c>
      <c r="V21" s="6" t="n">
        <v>16.5</v>
      </c>
      <c r="W21" s="7" t="n">
        <v>0</v>
      </c>
      <c r="X21" s="7" t="n">
        <v>0</v>
      </c>
      <c r="Y21" s="6" t="inlineStr">
        <is>
          <t>No</t>
        </is>
      </c>
      <c r="Z21" s="6" t="inlineStr">
        <is>
          <t>No</t>
        </is>
      </c>
      <c r="AA21" s="6" t="inlineStr">
        <is>
          <t>FAIL</t>
        </is>
      </c>
      <c r="AB21" s="6" t="inlineStr">
        <is>
          <t>Từ chối trả lời dù câu hỏi có đáp án</t>
        </is>
      </c>
      <c r="AC21" s="6" t="n"/>
      <c r="AD21" s="6">
        <f>IF(AC21="",AA21,AC21)</f>
        <v/>
      </c>
      <c r="AE21" s="6" t="n"/>
      <c r="AF21" s="6" t="n"/>
    </row>
  </sheetData>
  <autoFilter ref="A1:AF21"/>
  <conditionalFormatting sqref="AA2:AA21">
    <cfRule type="cellIs" priority="1" operator="equal" dxfId="0">
      <formula>"PASS"</formula>
    </cfRule>
    <cfRule type="cellIs" priority="2" operator="equal" dxfId="1">
      <formula>"PARTIAL"</formula>
    </cfRule>
    <cfRule type="cellIs" priority="3" operator="equal" dxfId="2">
      <formula>"FAIL"</formula>
    </cfRule>
    <cfRule type="cellIs" priority="4" operator="equal" dxfId="3">
      <formula>"BLOCKED"</formula>
    </cfRule>
  </conditionalFormatting>
  <conditionalFormatting sqref="AC2:AC21">
    <cfRule type="cellIs" priority="5" operator="equal" dxfId="0">
      <formula>"PASS"</formula>
    </cfRule>
    <cfRule type="cellIs" priority="6" operator="equal" dxfId="1">
      <formula>"PARTIAL"</formula>
    </cfRule>
    <cfRule type="cellIs" priority="7" operator="equal" dxfId="2">
      <formula>"FAIL"</formula>
    </cfRule>
    <cfRule type="cellIs" priority="8" operator="equal" dxfId="3">
      <formula>"BLOCKED"</formula>
    </cfRule>
  </conditionalFormatting>
  <conditionalFormatting sqref="AD2:AD21">
    <cfRule type="cellIs" priority="9" operator="equal" dxfId="0">
      <formula>"PASS"</formula>
    </cfRule>
    <cfRule type="cellIs" priority="10" operator="equal" dxfId="1">
      <formula>"PARTIAL"</formula>
    </cfRule>
    <cfRule type="cellIs" priority="11" operator="equal" dxfId="2">
      <formula>"FAIL"</formula>
    </cfRule>
    <cfRule type="cellIs" priority="12" operator="equal" dxfId="3">
      <formula>"BLOCKED"</formula>
    </cfRule>
  </conditionalFormatting>
  <dataValidations count="1">
    <dataValidation sqref="AC2:AC21" showDropDown="0" showInputMessage="0" showErrorMessage="0" allowBlank="1" type="list">
      <formula1>"PASS,PARTIAL,FAIL,BLOCKED"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0" customWidth="1" min="1" max="1"/>
    <col width="12" customWidth="1" min="2" max="2"/>
    <col width="10" customWidth="1" min="3" max="3"/>
    <col width="30" customWidth="1" min="4" max="4"/>
    <col width="45" customWidth="1" min="5" max="5"/>
    <col width="45" customWidth="1" min="6" max="6"/>
    <col width="55" customWidth="1" min="7" max="7"/>
    <col width="35" customWidth="1" min="8" max="8"/>
    <col width="16" customWidth="1" min="9" max="9"/>
  </cols>
  <sheetData>
    <row r="1">
      <c r="A1" s="2" t="inlineStr">
        <is>
          <t>Defect ID</t>
        </is>
      </c>
      <c r="B1" s="2" t="inlineStr">
        <is>
          <t>Test Case</t>
        </is>
      </c>
      <c r="C1" s="2" t="inlineStr">
        <is>
          <t>Severity</t>
        </is>
      </c>
      <c r="D1" s="2" t="inlineStr">
        <is>
          <t>Title</t>
        </is>
      </c>
      <c r="E1" s="2" t="inlineStr">
        <is>
          <t>Steps to reproduce</t>
        </is>
      </c>
      <c r="F1" s="2" t="inlineStr">
        <is>
          <t>Expected</t>
        </is>
      </c>
      <c r="G1" s="2" t="inlineStr">
        <is>
          <t>Actual</t>
        </is>
      </c>
      <c r="H1" s="2" t="inlineStr">
        <is>
          <t>Auto reasons</t>
        </is>
      </c>
      <c r="I1" s="2" t="inlineStr">
        <is>
          <t>Status</t>
        </is>
      </c>
    </row>
    <row r="2">
      <c r="A2" s="6" t="inlineStr">
        <is>
          <t>D-001</t>
        </is>
      </c>
      <c r="B2" s="6" t="inlineStr">
        <is>
          <t>ROB_A_001</t>
        </is>
      </c>
      <c r="C2" s="6" t="inlineStr">
        <is>
          <t>Medium</t>
        </is>
      </c>
      <c r="D2" s="6" t="inlineStr">
        <is>
          <t>Từ chối trả lời câu hỏi có đáp án</t>
        </is>
      </c>
      <c r="E2" s="6" t="inlineStr">
        <is>
          <t>1. Mở RAG Lab / POST /api/rag/chat
2. Query: "Mot nguoi tim viec thong qua trung tam dich vu viec lam. Theo giao trinh, quan he nay co nam trong doi tuong dieu chinh cua Luat lao dong khong?"</t>
        </is>
      </c>
      <c r="F2" s="6" t="inlineStr">
        <is>
          <t>Có. Đây là một dạng quan hệ về việc làm giữa NLĐ và trung tâm dịch vụ việc làm, được xếp vào các quan hệ liên quan đến quan hệ lao động.</t>
        </is>
      </c>
      <c r="G2" s="6" t="inlineStr">
        <is>
          <t>Dựa trên tài liệu được cung cấp, tôi không tìm thấy thông tin để trả lời câu hỏi này.</t>
        </is>
      </c>
      <c r="H2" s="6" t="inlineStr">
        <is>
          <t>Từ chối trả lời dù câu hỏi có đáp án</t>
        </is>
      </c>
      <c r="I2" s="6" t="inlineStr">
        <is>
          <t>Open (candidate)</t>
        </is>
      </c>
    </row>
    <row r="3">
      <c r="A3" s="6" t="inlineStr">
        <is>
          <t>D-002</t>
        </is>
      </c>
      <c r="B3" s="6" t="inlineStr">
        <is>
          <t>ROB_A_002</t>
        </is>
      </c>
      <c r="C3" s="6" t="inlineStr">
        <is>
          <t>Medium</t>
        </is>
      </c>
      <c r="D3" s="6" t="inlineStr">
        <is>
          <t>Từ chối trả lời câu hỏi có đáp án</t>
        </is>
      </c>
      <c r="E3" s="6" t="inlineStr">
        <is>
          <t>1. Mở RAG Lab / POST /api/rag/chat
2. Query: "Theo giao trinh, lam them vao ngay le/ngay nghi huong luong duoc tra it nhat bao nhieu?"</t>
        </is>
      </c>
      <c r="F3" s="6" t="inlineStr">
        <is>
          <t>Ít nhất bằng 300% theo quy định được tài liệu trình bày.</t>
        </is>
      </c>
      <c r="G3" s="6" t="inlineStr">
        <is>
          <t>Dựa trên tài liệu được cung cấp, tôi không tìm thấy thông tin để trả lời câu hỏi này.</t>
        </is>
      </c>
      <c r="H3" s="6" t="inlineStr">
        <is>
          <t>Từ chối trả lời dù câu hỏi có đáp án</t>
        </is>
      </c>
      <c r="I3" s="6" t="inlineStr">
        <is>
          <t>Open (candidate)</t>
        </is>
      </c>
    </row>
    <row r="4">
      <c r="A4" s="6" t="inlineStr">
        <is>
          <t>D-003</t>
        </is>
      </c>
      <c r="B4" s="6" t="inlineStr">
        <is>
          <t>ROB_A_004</t>
        </is>
      </c>
      <c r="C4" s="6" t="inlineStr">
        <is>
          <t>Medium</t>
        </is>
      </c>
      <c r="D4" s="6" t="inlineStr">
        <is>
          <t>Từ chối trả lời câu hỏi có đáp án</t>
        </is>
      </c>
      <c r="E4" s="6" t="inlineStr">
        <is>
          <t>1. Mở RAG Lab / POST /api/rag/chat
2. Query: "Quan he boi thuong thiet hai trong lao dong phat sinh khi nao?"</t>
        </is>
      </c>
      <c r="F4" s="6" t="inlineStr">
        <is>
          <t>Phát sinh khi một chủ thể trong quá trình thực hiện quyền, nghĩa vụ lao động gây thiệt hại về sức khỏe, tính mạng, tài sản hoặc lợi ích của bên kia.</t>
        </is>
      </c>
      <c r="G4" s="6" t="inlineStr">
        <is>
          <t>Dựa trên tài liệu được cung cấp, tôi không tìm thấy thông tin để trả lời câu hỏi này.</t>
        </is>
      </c>
      <c r="H4" s="6" t="inlineStr">
        <is>
          <t>Từ chối trả lời dù câu hỏi có đáp án</t>
        </is>
      </c>
      <c r="I4" s="6" t="inlineStr">
        <is>
          <t>Open (candidate)</t>
        </is>
      </c>
    </row>
    <row r="5">
      <c r="A5" s="6" t="inlineStr">
        <is>
          <t>D-004</t>
        </is>
      </c>
      <c r="B5" s="6" t="inlineStr">
        <is>
          <t>ROB_B_005</t>
        </is>
      </c>
      <c r="C5" s="6" t="inlineStr">
        <is>
          <t>High</t>
        </is>
      </c>
      <c r="D5" s="6" t="inlineStr">
        <is>
          <t>Từ chối trả lời câu hỏi có đáp án</t>
        </is>
      </c>
      <c r="E5" s="6" t="inlineStr">
        <is>
          <t>1. Mở RAG Lab / POST /api/rag/chat
2. Query: "So tay xep tra tien luong lam them gio vao phan nao?"</t>
        </is>
      </c>
      <c r="F5" s="6" t="inlineStr">
        <is>
          <t>Thuộc Phần II - Tiền lương.</t>
        </is>
      </c>
      <c r="G5" s="6" t="inlineStr">
        <is>
          <t>Dựa trên tài liệu được cung cấp, tôi không tìm thấy thông tin để trả lời câu hỏi này.</t>
        </is>
      </c>
      <c r="H5" s="6" t="inlineStr">
        <is>
          <t>Từ chối trả lời dù câu hỏi có đáp án</t>
        </is>
      </c>
      <c r="I5" s="6" t="inlineStr">
        <is>
          <t>Open (candidate)</t>
        </is>
      </c>
    </row>
    <row r="6">
      <c r="A6" s="6" t="inlineStr">
        <is>
          <t>D-005</t>
        </is>
      </c>
      <c r="B6" s="6" t="inlineStr">
        <is>
          <t>ROB_B_007</t>
        </is>
      </c>
      <c r="C6" s="6" t="inlineStr">
        <is>
          <t>Medium</t>
        </is>
      </c>
      <c r="D6" s="6" t="inlineStr">
        <is>
          <t>Từ chối trả lời câu hỏi có đáp án</t>
        </is>
      </c>
      <c r="E6" s="6" t="inlineStr">
        <is>
          <t>1. Mở RAG Lab / POST /api/rag/chat
2. Query: "Hop dong lao dong co y nghia gi khi xay ra tranh chap theo so tay?"</t>
        </is>
      </c>
      <c r="F6" s="6" t="inlineStr">
        <is>
          <t>Là căn cứ thể hiện các thỏa thuận của các bên để xem xét quyền, nghĩa vụ và giải quyết tranh chấp.</t>
        </is>
      </c>
      <c r="G6" s="6" t="inlineStr">
        <is>
          <t>Dựa trên tài liệu được cung cấp, tôi không tìm thấy thông tin để trả lời câu hỏi này.</t>
        </is>
      </c>
      <c r="H6" s="6" t="inlineStr">
        <is>
          <t>Từ chối trả lời dù câu hỏi có đáp án</t>
        </is>
      </c>
      <c r="I6" s="6" t="inlineStr">
        <is>
          <t>Open (candidate)</t>
        </is>
      </c>
    </row>
    <row r="7">
      <c r="A7" s="6" t="inlineStr">
        <is>
          <t>D-006</t>
        </is>
      </c>
      <c r="B7" s="6" t="inlineStr">
        <is>
          <t>ROB_D_014</t>
        </is>
      </c>
      <c r="C7" s="6" t="inlineStr">
        <is>
          <t>Medium</t>
        </is>
      </c>
      <c r="D7" s="6" t="inlineStr">
        <is>
          <t>Từ chối trả lời câu hỏi có đáp án</t>
        </is>
      </c>
      <c r="E7" s="6" t="inlineStr">
        <is>
          <t>1. Mở RAG Lab / POST /api/rag/chat
2. Query: "Mot cau hoi ve lam them vao ngay le vua lien quan thoi gio nghi vua lien quan tien luong. Cam nang dinh huong retrieval qua nhung nhom noi dung nao?"</t>
        </is>
      </c>
      <c r="F7" s="6" t="inlineStr">
        <is>
          <t>Cần kết hợp phần ngày nghỉ lễ, tết/quy định làm thêm giờ với phần tiền lương, đặc biệt tiền lương làm thêm giờ và làm việc ban đêm.</t>
        </is>
      </c>
      <c r="G7" s="6" t="inlineStr">
        <is>
          <t>Dựa trên tài liệu được cung cấp, tôi không tìm thấy thông tin để trả lời câu hỏi này.</t>
        </is>
      </c>
      <c r="H7" s="6" t="inlineStr">
        <is>
          <t>Từ chối trả lời dù câu hỏi có đáp án</t>
        </is>
      </c>
      <c r="I7" s="6" t="inlineStr">
        <is>
          <t>Open (candidate)</t>
        </is>
      </c>
    </row>
    <row r="8">
      <c r="A8" s="6" t="inlineStr">
        <is>
          <t>D-007</t>
        </is>
      </c>
      <c r="B8" s="6" t="inlineStr">
        <is>
          <t>ROB_D_016</t>
        </is>
      </c>
      <c r="C8" s="6" t="inlineStr">
        <is>
          <t>High</t>
        </is>
      </c>
      <c r="D8" s="6" t="inlineStr">
        <is>
          <t>Từ chối trả lời câu hỏi có đáp án</t>
        </is>
      </c>
      <c r="E8" s="6" t="inlineStr">
        <is>
          <t>1. Mở RAG Lab / POST /api/rag/chat
2. Query: "Cam nang so sanh chu yeu hai phien ban Bo luat Lao dong nao?"</t>
        </is>
      </c>
      <c r="F8" s="6" t="inlineStr">
        <is>
          <t>BLLĐ 2012 và BLLĐ 2019.</t>
        </is>
      </c>
      <c r="G8" s="6" t="inlineStr">
        <is>
          <t>Dựa trên tài liệu được cung cấp, tôi không tìm thấy thông tin để trả lời câu hỏi này.</t>
        </is>
      </c>
      <c r="H8" s="6" t="inlineStr">
        <is>
          <t>Từ chối trả lời dù câu hỏi có đáp án</t>
        </is>
      </c>
      <c r="I8" s="6" t="inlineStr">
        <is>
          <t>Open (candidate)</t>
        </is>
      </c>
    </row>
    <row r="9">
      <c r="A9" s="6" t="inlineStr">
        <is>
          <t>D-008</t>
        </is>
      </c>
      <c r="B9" s="6" t="inlineStr">
        <is>
          <t>ROB_E_017</t>
        </is>
      </c>
      <c r="C9" s="6" t="inlineStr">
        <is>
          <t>High</t>
        </is>
      </c>
      <c r="D9" s="6" t="inlineStr">
        <is>
          <t>Từ chối trả lời câu hỏi có đáp án</t>
        </is>
      </c>
      <c r="E9" s="6" t="inlineStr">
        <is>
          <t>1. Mở RAG Lab / POST /api/rag/chat
2. Query: "HDLD xac dinh thoi han toi da bao nhieu thang theo Dieu 20?"</t>
        </is>
      </c>
      <c r="F9" s="6" t="inlineStr">
        <is>
          <t>Không quá 36 tháng kể từ thời điểm có hiệu lực của hợp đồng.</t>
        </is>
      </c>
      <c r="G9" s="6" t="inlineStr">
        <is>
          <t>Dựa trên tài liệu được cung cấp, tôi không tìm thấy thông tin để trả lời câu hỏi này.</t>
        </is>
      </c>
      <c r="H9" s="6" t="inlineStr">
        <is>
          <t>Từ chối trả lời dù câu hỏi có đáp án</t>
        </is>
      </c>
      <c r="I9" s="6" t="inlineStr">
        <is>
          <t>Open (candidate)</t>
        </is>
      </c>
    </row>
    <row r="10">
      <c r="A10" s="6" t="inlineStr">
        <is>
          <t>D-009</t>
        </is>
      </c>
      <c r="B10" s="6" t="inlineStr">
        <is>
          <t>ROB_E_019</t>
        </is>
      </c>
      <c r="C10" s="6" t="inlineStr">
        <is>
          <t>High</t>
        </is>
      </c>
      <c r="D10" s="6" t="inlineStr">
        <is>
          <t>Từ chối trả lời câu hỏi có đáp án</t>
        </is>
      </c>
      <c r="E10" s="6" t="inlineStr">
        <is>
          <t>1. Mở RAG Lab / POST /api/rag/chat
2. Query: "Theo Dieu 3, nguoi lao dong duoc dinh nghia nhu the nao?"</t>
        </is>
      </c>
      <c r="F10" s="6" t="inlineStr">
        <is>
          <t>Là người làm việc cho NSDLĐ theo thỏa thuận, được trả lương và chịu sự quản lý, điều hành, giám sát của NSDLĐ.</t>
        </is>
      </c>
      <c r="G10" s="6" t="inlineStr">
        <is>
          <t>Dựa trên tài liệu được cung cấp, tôi không tìm thấy thông tin để trả lời câu hỏi này.</t>
        </is>
      </c>
      <c r="H10" s="6" t="inlineStr">
        <is>
          <t>Từ chối trả lời dù câu hỏi có đáp án</t>
        </is>
      </c>
      <c r="I10" s="6" t="inlineStr">
        <is>
          <t>Open (candidate)</t>
        </is>
      </c>
    </row>
    <row r="11">
      <c r="A11" s="6" t="inlineStr">
        <is>
          <t>D-010</t>
        </is>
      </c>
      <c r="B11" s="6" t="inlineStr">
        <is>
          <t>ROB_E_020</t>
        </is>
      </c>
      <c r="C11" s="6" t="inlineStr">
        <is>
          <t>High</t>
        </is>
      </c>
      <c r="D11" s="6" t="inlineStr">
        <is>
          <t>Từ chối trả lời câu hỏi có đáp án</t>
        </is>
      </c>
      <c r="E11" s="6" t="inlineStr">
        <is>
          <t>1. Mở RAG Lab / POST /api/rag/chat
2. Query: "Co ap dung thu viec voi HDLD duoi 01 thang khong?"</t>
        </is>
      </c>
      <c r="F11" s="6" t="inlineStr">
        <is>
          <t>Không. Điều 24 quy định không áp dụng thử việc với NLĐ giao kết HĐLĐ có thời hạn dưới 01 tháng.</t>
        </is>
      </c>
      <c r="G11" s="6" t="inlineStr">
        <is>
          <t>Dựa trên tài liệu được cung cấp, tôi không tìm thấy thông tin để trả lời câu hỏi này.</t>
        </is>
      </c>
      <c r="H11" s="6" t="inlineStr">
        <is>
          <t>Từ chối trả lời dù câu hỏi có đáp án</t>
        </is>
      </c>
      <c r="I11" s="6" t="inlineStr">
        <is>
          <t>Open (candidate)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6" customWidth="1" min="1" max="1"/>
    <col width="110" customWidth="1" min="2" max="2"/>
  </cols>
  <sheetData>
    <row r="1">
      <c r="A1" s="2" t="inlineStr">
        <is>
          <t>Item</t>
        </is>
      </c>
      <c r="B1" s="2" t="inlineStr">
        <is>
          <t>Value</t>
        </is>
      </c>
    </row>
    <row r="2">
      <c r="A2" t="inlineStr">
        <is>
          <t>Report generated</t>
        </is>
      </c>
      <c r="B2" t="inlineStr">
        <is>
          <t>2026-10-21T14:26:25</t>
        </is>
      </c>
    </row>
    <row r="3">
      <c r="A3" t="inlineStr">
        <is>
          <t>Test execution</t>
        </is>
      </c>
      <c r="B3" t="inlineStr">
        <is>
          <t>2026-10-21T14:20:00 → 2026-10-21T14:26:23</t>
        </is>
      </c>
    </row>
    <row r="4">
      <c r="A4" t="inlineStr">
        <is>
          <t>Test file</t>
        </is>
      </c>
      <c r="B4" t="inlineStr">
        <is>
          <t>TC_Robustness.xlsx (sha256 3f85c9203cfb5c46)</t>
        </is>
      </c>
    </row>
    <row r="5">
      <c r="A5" t="inlineStr">
        <is>
          <t>Test cases</t>
        </is>
      </c>
      <c r="B5" t="n">
        <v>20</v>
      </c>
    </row>
    <row r="6">
      <c r="A6" t="inlineStr">
        <is>
          <t>API</t>
        </is>
      </c>
      <c r="B6" t="inlineStr">
        <is>
          <t>http://127.0.0.1:8001</t>
        </is>
      </c>
    </row>
    <row r="7">
      <c r="A7" t="inlineStr">
        <is>
          <t>LLM provider override</t>
        </is>
      </c>
      <c r="B7" t="inlineStr">
        <is>
          <t>(server default)</t>
        </is>
      </c>
    </row>
    <row r="8">
      <c r="A8" t="inlineStr">
        <is>
          <t>LLM models used (from responses)</t>
        </is>
      </c>
      <c r="B8" t="inlineStr">
        <is>
          <t>(no LLM call: early exit): 10; gemini-3.5-flash-lite: 10</t>
        </is>
      </c>
    </row>
    <row r="9">
      <c r="A9" t="inlineStr">
        <is>
          <t>Git commit</t>
        </is>
      </c>
      <c r="B9" t="inlineStr">
        <is>
          <t>b1b412d + 30 uncommitted file(s) in src/, frontend/src, evaluation/</t>
        </is>
      </c>
    </row>
    <row r="10">
      <c r="A10" t="inlineStr">
        <is>
          <t>Indexed documents</t>
        </is>
      </c>
      <c r="B10" t="n">
        <v>5</v>
      </c>
    </row>
    <row r="11">
      <c r="A11" t="inlineStr">
        <is>
          <t>Pages / elements / chunks / vectors</t>
        </is>
      </c>
      <c r="B11" t="inlineStr">
        <is>
          <t>1428 / 21527 / 4654 / 4654</t>
        </is>
      </c>
    </row>
    <row r="12">
      <c r="A12" t="inlineStr">
        <is>
          <t>Embedding model / device</t>
        </is>
      </c>
      <c r="B12" t="inlineStr">
        <is>
          <t>BAAI/bge-m3 / cpu</t>
        </is>
      </c>
    </row>
    <row r="13">
      <c r="A13" t="inlineStr">
        <is>
          <t>config EMBEDDING_MODEL</t>
        </is>
      </c>
      <c r="B13" t="inlineStr">
        <is>
          <t>(default)</t>
        </is>
      </c>
    </row>
    <row r="14">
      <c r="A14" t="inlineStr">
        <is>
          <t>config RERANKER_MODEL</t>
        </is>
      </c>
      <c r="B14" t="inlineStr">
        <is>
          <t>(default)</t>
        </is>
      </c>
    </row>
    <row r="15">
      <c r="A15" t="inlineStr">
        <is>
          <t>config RETRIEVAL_TOP_K</t>
        </is>
      </c>
      <c r="B15" t="inlineStr">
        <is>
          <t>10</t>
        </is>
      </c>
    </row>
    <row r="16">
      <c r="A16" t="inlineStr">
        <is>
          <t>config RERANK_TOP_N</t>
        </is>
      </c>
      <c r="B16" t="inlineStr">
        <is>
          <t>(default)</t>
        </is>
      </c>
    </row>
    <row r="17">
      <c r="A17" t="inlineStr">
        <is>
          <t>config RERANK_THRESHOLD</t>
        </is>
      </c>
      <c r="B17" t="inlineStr">
        <is>
          <t>(default)</t>
        </is>
      </c>
    </row>
    <row r="18">
      <c r="A18" t="inlineStr">
        <is>
          <t>config MAX_CONTEXT_TOKENS</t>
        </is>
      </c>
      <c r="B18" t="inlineStr">
        <is>
          <t>(default)</t>
        </is>
      </c>
    </row>
    <row r="19">
      <c r="A19" t="inlineStr">
        <is>
          <t>config LLM_PROVIDER</t>
        </is>
      </c>
      <c r="B19" t="inlineStr">
        <is>
          <t>gemini</t>
        </is>
      </c>
    </row>
    <row r="20">
      <c r="A20" t="inlineStr">
        <is>
          <t>config LLM_MODEL</t>
        </is>
      </c>
      <c r="B20" t="inlineStr">
        <is>
          <t>gemini-3.6-flash</t>
        </is>
      </c>
    </row>
    <row r="21">
      <c r="A21" t="inlineStr">
        <is>
          <t>config GEMINI_MODEL</t>
        </is>
      </c>
      <c r="B21" t="inlineStr">
        <is>
          <t>gemini-3.5-flash-lite</t>
        </is>
      </c>
    </row>
    <row r="22">
      <c r="A22" t="inlineStr">
        <is>
          <t>config OPENAI_MODEL</t>
        </is>
      </c>
      <c r="B22" t="inlineStr">
        <is>
          <t>(default)</t>
        </is>
      </c>
    </row>
    <row r="23">
      <c r="A23" t="inlineStr">
        <is>
          <t>config OLLAMA_MODEL</t>
        </is>
      </c>
      <c r="B23" t="inlineStr">
        <is>
          <t>(default)</t>
        </is>
      </c>
    </row>
    <row r="24">
      <c r="A24" t="inlineStr">
        <is>
          <t>config PREFERRED_SOURCES</t>
        </is>
      </c>
      <c r="B24" t="inlineStr">
        <is>
          <t>Văn-bản-hợp-nhất-18-VBHN-VPQH.pdf</t>
        </is>
      </c>
    </row>
    <row r="25">
      <c r="A25" t="inlineStr">
        <is>
          <t>config TORCH_DEVICE</t>
        </is>
      </c>
      <c r="B25" t="inlineStr">
        <is>
          <t>(default)</t>
        </is>
      </c>
    </row>
    <row r="26">
      <c r="A26" t="inlineStr">
        <is>
          <t>Group → document</t>
        </is>
      </c>
      <c r="B26" t="inlineStr">
        <is>
          <t>A: giao trinh Luat lao dong CB 2005 (1).pdf; B: so-tay-kien-thuc-phap-luat-lao-dong-cdi.pdf; C: luu-ban-nhap-tu-dong-3-4.pdf; D: ILO-VCCI_Labour-Law-Guide-Book-V04-Final.pdf; E: Văn-bản-hợp-nhất-18-VBHN-VPQH.pdf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2026-10-21T07:26:25Z</dcterms:created>
  <dcterms:modified xmlns:dcterms="http://purl.org/dc/terms/" xmlns:xsi="http://www.w3.org/2001/XMLSchema-instance" xsi:type="dcterms:W3CDTF">2026-10-21T07:26:25Z</dcterms:modified>
</cp:coreProperties>
</file>