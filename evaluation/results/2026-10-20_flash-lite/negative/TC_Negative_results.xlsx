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Defects" sheetId="3" state="visible" r:id="rId3"/>
    <sheet xmlns:r="http://schemas.openxmlformats.org/officeDocument/2006/relationships" name="Environment" sheetId="4" state="visible" r:id="rId4"/>
  </sheets>
  <definedNames>
    <definedName name="_xlnm._FilterDatabase" localSheetId="1" hidden="1">'Results'!$A$1:$AF$21</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8">
    <xf numFmtId="0" fontId="0" fillId="0" borderId="0" pivotButton="0" quotePrefix="0" xfId="0"/>
    <xf numFmtId="0" fontId="2" fillId="0" borderId="0" pivotButton="0" quotePrefix="0" xfId="0"/>
    <xf numFmtId="0" fontId="1" fillId="2" borderId="0" applyAlignment="1" pivotButton="0" quotePrefix="0" xfId="0">
      <alignment vertical="center" wrapText="1"/>
    </xf>
    <xf numFmtId="164" fontId="0" fillId="0" borderId="0" pivotButton="0" quotePrefix="0" xfId="0"/>
    <xf numFmtId="0" fontId="3" fillId="0" borderId="0" pivotButton="0" quotePrefix="0" xfId="0"/>
    <xf numFmtId="9" fontId="0" fillId="0" borderId="0" pivotButton="0" quotePrefix="0" xfId="0"/>
    <xf numFmtId="0" fontId="0" fillId="0" borderId="0" applyAlignment="1" pivotButton="0" quotePrefix="0" xfId="0">
      <alignment vertical="top" wrapText="1"/>
    </xf>
    <xf numFmtId="9" fontId="0" fillId="0" borderId="0" applyAlignment="1" pivotButton="0" quotePrefix="0" xfId="0">
      <alignment vertical="top" wrapText="1"/>
    </xf>
  </cellXfs>
  <cellStyles count="1">
    <cellStyle name="Normal" xfId="0" builtinId="0" hidden="0"/>
  </cellStyles>
  <dxfs count="4">
    <dxf>
      <fill>
        <patternFill patternType="solid">
          <fgColor rgb="00C6EFCE"/>
        </patternFill>
      </fill>
    </dxf>
    <dxf>
      <fill>
        <patternFill patternType="solid">
          <fgColor rgb="00FFEB9C"/>
        </patternFill>
      </fill>
    </dxf>
    <dxf>
      <fill>
        <patternFill patternType="solid">
          <fgColor rgb="00FFC7CE"/>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48" customWidth="1" min="1" max="1"/>
    <col width="11" customWidth="1" min="2" max="2"/>
    <col width="11" customWidth="1" min="3" max="3"/>
    <col width="11" customWidth="1" min="4" max="4"/>
    <col width="11" customWidth="1" min="5" max="5"/>
    <col width="11" customWidth="1" min="6" max="6"/>
    <col width="11" customWidth="1" min="7" max="7"/>
    <col width="11" customWidth="1" min="8" max="8"/>
  </cols>
  <sheetData>
    <row r="1">
      <c r="A1" s="1" t="inlineStr">
        <is>
          <t>TC_LuatLD — Test Summary</t>
        </is>
      </c>
    </row>
    <row r="2">
      <c r="A2" t="inlineStr">
        <is>
          <t>Effective Status = Final Status (tester) nếu đã điền, nếu không = Suggested Status (tự động).</t>
        </is>
      </c>
    </row>
    <row r="4">
      <c r="A4" s="2" t="inlineStr">
        <is>
          <t>Status</t>
        </is>
      </c>
      <c r="B4" s="2" t="inlineStr">
        <is>
          <t>Count</t>
        </is>
      </c>
      <c r="C4" s="2" t="inlineStr">
        <is>
          <t>Rate</t>
        </is>
      </c>
    </row>
    <row r="5">
      <c r="A5" t="inlineStr">
        <is>
          <t>PASS</t>
        </is>
      </c>
      <c r="B5">
        <f>COUNTIF(Results!$AD$2:$AD$21,"PASS")</f>
        <v/>
      </c>
      <c r="C5" s="3">
        <f>B5/20</f>
        <v/>
      </c>
    </row>
    <row r="6">
      <c r="A6" t="inlineStr">
        <is>
          <t>PARTIAL</t>
        </is>
      </c>
      <c r="B6">
        <f>COUNTIF(Results!$AD$2:$AD$21,"PARTIAL")</f>
        <v/>
      </c>
      <c r="C6" s="3">
        <f>B6/20</f>
        <v/>
      </c>
    </row>
    <row r="7">
      <c r="A7" t="inlineStr">
        <is>
          <t>FAIL</t>
        </is>
      </c>
      <c r="B7">
        <f>COUNTIF(Results!$AD$2:$AD$21,"FAIL")</f>
        <v/>
      </c>
      <c r="C7" s="3">
        <f>B7/20</f>
        <v/>
      </c>
    </row>
    <row r="8">
      <c r="A8" t="inlineStr">
        <is>
          <t>BLOCKED</t>
        </is>
      </c>
      <c r="B8">
        <f>COUNTIF(Results!$AD$2:$AD$21,"BLOCKED")</f>
        <v/>
      </c>
      <c r="C8" s="3">
        <f>B8/20</f>
        <v/>
      </c>
    </row>
    <row r="9">
      <c r="A9" t="inlineStr">
        <is>
          <t>Total</t>
        </is>
      </c>
      <c r="B9">
        <f>SUM(B5:B8)</f>
        <v/>
      </c>
    </row>
    <row r="10">
      <c r="A10" t="inlineStr">
        <is>
          <t>Reviewed by tester</t>
        </is>
      </c>
      <c r="B10">
        <f>COUNTA(Results!AC2:AC21)</f>
        <v/>
      </c>
    </row>
    <row r="11">
      <c r="A11" t="inlineStr">
        <is>
          <t>Median latency (s)</t>
        </is>
      </c>
      <c r="B11" t="n">
        <v>20.6</v>
      </c>
    </row>
    <row r="13">
      <c r="A13" s="4" t="inlineStr">
        <is>
          <t>Theo tài liệu</t>
        </is>
      </c>
    </row>
    <row r="14">
      <c r="A14" s="2" t="inlineStr">
        <is>
          <t>Document</t>
        </is>
      </c>
      <c r="B14" s="2" t="inlineStr">
        <is>
          <t>Total</t>
        </is>
      </c>
      <c r="C14" s="2" t="inlineStr">
        <is>
          <t>PASS</t>
        </is>
      </c>
      <c r="D14" s="2" t="inlineStr">
        <is>
          <t>PARTIAL</t>
        </is>
      </c>
      <c r="E14" s="2" t="inlineStr">
        <is>
          <t>FAIL</t>
        </is>
      </c>
      <c r="F14" s="2" t="inlineStr">
        <is>
          <t>BLOCKED</t>
        </is>
      </c>
      <c r="G14" s="2" t="inlineStr">
        <is>
          <t>Pass rate</t>
        </is>
      </c>
    </row>
    <row r="15">
      <c r="A15" t="inlineStr"/>
      <c r="B15">
        <f>COUNTIF(Results!$Q$2:$Q$21,A15)</f>
        <v/>
      </c>
      <c r="C15">
        <f>COUNTIFS(Results!$Q$2:$Q$21,A15,Results!$AD$2:$AD$21,"PASS")</f>
        <v/>
      </c>
      <c r="D15">
        <f>COUNTIFS(Results!$Q$2:$Q$21,A15,Results!$AD$2:$AD$21,"PARTIAL")</f>
        <v/>
      </c>
      <c r="E15">
        <f>COUNTIFS(Results!$Q$2:$Q$21,A15,Results!$AD$2:$AD$21,"FAIL")</f>
        <v/>
      </c>
      <c r="F15">
        <f>COUNTIFS(Results!$Q$2:$Q$21,A15,Results!$AD$2:$AD$21,"BLOCKED")</f>
        <v/>
      </c>
      <c r="G15">
        <f>IF(B15=0,0,C15/B15)</f>
        <v/>
      </c>
      <c r="H15" s="5" t="n"/>
    </row>
    <row r="17">
      <c r="A17" s="4" t="inlineStr">
        <is>
          <t>Theo độ khó</t>
        </is>
      </c>
    </row>
    <row r="18">
      <c r="A18" s="2" t="inlineStr">
        <is>
          <t>Retrieval Difficulty</t>
        </is>
      </c>
      <c r="B18" s="2" t="inlineStr">
        <is>
          <t>Total</t>
        </is>
      </c>
      <c r="C18" s="2" t="inlineStr">
        <is>
          <t>PASS</t>
        </is>
      </c>
      <c r="D18" s="2" t="inlineStr">
        <is>
          <t>PARTIAL</t>
        </is>
      </c>
      <c r="E18" s="2" t="inlineStr">
        <is>
          <t>FAIL</t>
        </is>
      </c>
      <c r="F18" s="2" t="inlineStr">
        <is>
          <t>BLOCKED</t>
        </is>
      </c>
      <c r="G18" s="2" t="inlineStr">
        <is>
          <t>Pass rate</t>
        </is>
      </c>
      <c r="H18" s="2" t="n"/>
    </row>
    <row r="19">
      <c r="A19" t="inlineStr">
        <is>
          <t>Easy</t>
        </is>
      </c>
      <c r="B19">
        <f>COUNTIF(Results!$I$2:$I$21,A19)</f>
        <v/>
      </c>
      <c r="C19">
        <f>COUNTIFS(Results!$I$2:$I$21,A19,Results!$AD$2:$AD$21,"PASS")</f>
        <v/>
      </c>
      <c r="D19">
        <f>COUNTIFS(Results!$I$2:$I$21,A19,Results!$AD$2:$AD$21,"PARTIAL")</f>
        <v/>
      </c>
      <c r="E19">
        <f>COUNTIFS(Results!$I$2:$I$21,A19,Results!$AD$2:$AD$21,"FAIL")</f>
        <v/>
      </c>
      <c r="F19">
        <f>COUNTIFS(Results!$I$2:$I$21,A19,Results!$AD$2:$AD$21,"BLOCKED")</f>
        <v/>
      </c>
      <c r="G19">
        <f>IF(B19=0,0,C19/B19)</f>
        <v/>
      </c>
      <c r="H19" s="5" t="n"/>
    </row>
    <row r="21">
      <c r="A21" s="4" t="inlineStr">
        <is>
          <t>Theo loại câu hỏi</t>
        </is>
      </c>
    </row>
    <row r="22">
      <c r="A22" s="2" t="inlineStr">
        <is>
          <t>Category</t>
        </is>
      </c>
      <c r="B22" s="2" t="inlineStr">
        <is>
          <t>Total</t>
        </is>
      </c>
      <c r="C22" s="2" t="inlineStr">
        <is>
          <t>PASS</t>
        </is>
      </c>
      <c r="D22" s="2" t="inlineStr">
        <is>
          <t>PARTIAL</t>
        </is>
      </c>
      <c r="E22" s="2" t="inlineStr">
        <is>
          <t>FAIL</t>
        </is>
      </c>
      <c r="F22" s="2" t="inlineStr">
        <is>
          <t>BLOCKED</t>
        </is>
      </c>
      <c r="G22" s="2" t="inlineStr">
        <is>
          <t>Pass rate</t>
        </is>
      </c>
      <c r="H22" s="2" t="n"/>
    </row>
    <row r="23">
      <c r="A23" t="inlineStr">
        <is>
          <t>Negative</t>
        </is>
      </c>
      <c r="B23">
        <f>COUNTIF(Results!$B$2:$B$21,A23)</f>
        <v/>
      </c>
      <c r="C23">
        <f>COUNTIFS(Results!$B$2:$B$21,A23,Results!$AD$2:$AD$21,"PASS")</f>
        <v/>
      </c>
      <c r="D23">
        <f>COUNTIFS(Results!$B$2:$B$21,A23,Results!$AD$2:$AD$21,"PARTIAL")</f>
        <v/>
      </c>
      <c r="E23">
        <f>COUNTIFS(Results!$B$2:$B$21,A23,Results!$AD$2:$AD$21,"FAIL")</f>
        <v/>
      </c>
      <c r="F23">
        <f>COUNTIFS(Results!$B$2:$B$21,A23,Results!$AD$2:$AD$21,"BLOCKED")</f>
        <v/>
      </c>
      <c r="G23">
        <f>IF(B23=0,0,C23/B23)</f>
        <v/>
      </c>
      <c r="H23" s="5"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45" customWidth="1" min="3" max="3"/>
    <col width="45" customWidth="1" min="4" max="4"/>
    <col width="35" customWidth="1" min="5" max="5"/>
    <col width="14" customWidth="1" min="6" max="6"/>
    <col width="14" customWidth="1" min="7" max="7"/>
    <col width="25"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60" customWidth="1" min="18" max="18"/>
    <col width="45" customWidth="1" min="19" max="19"/>
    <col width="45"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35" customWidth="1" min="28" max="28"/>
    <col width="14" customWidth="1" min="29" max="29"/>
    <col width="14" customWidth="1" min="30" max="30"/>
    <col width="14" customWidth="1" min="31" max="31"/>
    <col width="30" customWidth="1" min="32" max="32"/>
  </cols>
  <sheetData>
    <row r="1">
      <c r="A1" s="2" t="inlineStr">
        <is>
          <t>Test Case ID</t>
        </is>
      </c>
      <c r="B1" s="2" t="inlineStr">
        <is>
          <t>Category</t>
        </is>
      </c>
      <c r="C1" s="2" t="inlineStr">
        <is>
          <t>Query</t>
        </is>
      </c>
      <c r="D1" s="2" t="inlineStr">
        <is>
          <t>Expected Answer</t>
        </is>
      </c>
      <c r="E1" s="2" t="inlineStr">
        <is>
          <t>Evidence</t>
        </is>
      </c>
      <c r="F1" s="2" t="inlineStr">
        <is>
          <t>Source Page</t>
        </is>
      </c>
      <c r="G1" s="2" t="inlineStr">
        <is>
          <t>Source Section</t>
        </is>
      </c>
      <c r="H1" s="2" t="inlineStr">
        <is>
          <t>Required Keywords / Key Concepts</t>
        </is>
      </c>
      <c r="I1" s="2" t="inlineStr">
        <is>
          <t>Retrieval Difficulty</t>
        </is>
      </c>
      <c r="J1" s="2" t="inlineStr">
        <is>
          <t>Expected Retrieval Type</t>
        </is>
      </c>
      <c r="K1" s="2" t="inlineStr">
        <is>
          <t>Is Answerable</t>
        </is>
      </c>
      <c r="L1" s="2" t="inlineStr">
        <is>
          <t>Expected Behavior</t>
        </is>
      </c>
      <c r="M1" s="2" t="inlineStr">
        <is>
          <t>Notes</t>
        </is>
      </c>
      <c r="N1" s="2" t="inlineStr">
        <is>
          <t>Forbidden Keywords</t>
        </is>
      </c>
      <c r="O1" s="2" t="inlineStr">
        <is>
          <t>Reviewed By</t>
        </is>
      </c>
      <c r="P1" s="2" t="inlineStr">
        <is>
          <t>Reviewed Date</t>
        </is>
      </c>
      <c r="Q1" s="2" t="inlineStr">
        <is>
          <t>Document</t>
        </is>
      </c>
      <c r="R1" s="2" t="inlineStr">
        <is>
          <t>Actual Answer</t>
        </is>
      </c>
      <c r="S1" s="2" t="inlineStr">
        <is>
          <t>Cited Sources</t>
        </is>
      </c>
      <c r="T1" s="2" t="inlineStr">
        <is>
          <t>Context Sources</t>
        </is>
      </c>
      <c r="U1" s="2" t="inlineStr">
        <is>
          <t>LLM Model</t>
        </is>
      </c>
      <c r="V1" s="2" t="inlineStr">
        <is>
          <t>Latency (s)</t>
        </is>
      </c>
      <c r="W1" s="2" t="inlineStr">
        <is>
          <t>Keyword Coverage</t>
        </is>
      </c>
      <c r="X1" s="2" t="inlineStr">
        <is>
          <t>Expected-Answer Recall</t>
        </is>
      </c>
      <c r="Y1" s="2" t="inlineStr">
        <is>
          <t>Cited Expected Doc</t>
        </is>
      </c>
      <c r="Z1" s="2" t="inlineStr">
        <is>
          <t>Page Match</t>
        </is>
      </c>
      <c r="AA1" s="2" t="inlineStr">
        <is>
          <t>Suggested Status</t>
        </is>
      </c>
      <c r="AB1" s="2" t="inlineStr">
        <is>
          <t>Auto Reasons</t>
        </is>
      </c>
      <c r="AC1" s="2" t="inlineStr">
        <is>
          <t>Final Status</t>
        </is>
      </c>
      <c r="AD1" s="2" t="inlineStr">
        <is>
          <t>Effective Status</t>
        </is>
      </c>
      <c r="AE1" s="2" t="inlineStr">
        <is>
          <t>Defect ID</t>
        </is>
      </c>
      <c r="AF1" s="2" t="inlineStr">
        <is>
          <t>Tester Note</t>
        </is>
      </c>
    </row>
    <row r="2">
      <c r="A2" s="6" t="inlineStr">
        <is>
          <t>NEG_X_001</t>
        </is>
      </c>
      <c r="B2" s="6" t="inlineStr">
        <is>
          <t>Negative</t>
        </is>
      </c>
      <c r="C2" s="6" t="inlineStr">
        <is>
          <t>Theo Luật Đất đai 2024, thời hạn sử dụng đất nông nghiệp của hộ gia đình là bao lâu?</t>
        </is>
      </c>
      <c r="D2" s="6" t="inlineStr">
        <is>
          <t>Không có trong tài liệu - phải từ chối, không bịa điều luật.</t>
        </is>
      </c>
      <c r="E2" s="6" t="n"/>
      <c r="F2" s="6" t="n"/>
      <c r="G2" s="6" t="n"/>
      <c r="H2" s="6" t="n"/>
      <c r="I2" s="6" t="inlineStr">
        <is>
          <t>Easy</t>
        </is>
      </c>
      <c r="J2" s="6" t="inlineStr">
        <is>
          <t>None</t>
        </is>
      </c>
      <c r="K2" s="6" t="inlineStr">
        <is>
          <t>No</t>
        </is>
      </c>
      <c r="L2" s="6" t="inlineStr">
        <is>
          <t>Từ chối: 'Dựa trên tài liệu được cung cấp, tôi không tìm thấy thông tin để trả lời câu hỏi này.'</t>
        </is>
      </c>
      <c r="M2" s="6" t="inlineStr">
        <is>
          <t>Other law</t>
        </is>
      </c>
      <c r="N2" s="6" t="n"/>
      <c r="O2" s="6" t="n"/>
      <c r="P2" s="6" t="n"/>
      <c r="Q2" s="6" t="inlineStr"/>
      <c r="R2" s="6" t="inlineStr">
        <is>
          <t>Dựa trên tài liệu được cung cấp, tôi không tìm thấy thông tin để trả lời câu hỏi này.</t>
        </is>
      </c>
      <c r="S2" s="6" t="inlineStr"/>
      <c r="T2" s="6" t="inlineStr"/>
      <c r="U2" s="6" t="inlineStr">
        <is>
          <t>(no LLM call: early exit)</t>
        </is>
      </c>
      <c r="V2" s="6" t="n">
        <v>32.5</v>
      </c>
      <c r="W2" s="7" t="n"/>
      <c r="X2" s="7" t="n">
        <v>0</v>
      </c>
      <c r="Y2" s="6" t="inlineStr">
        <is>
          <t>No</t>
        </is>
      </c>
      <c r="Z2" s="6" t="inlineStr">
        <is>
          <t>n/a</t>
        </is>
      </c>
      <c r="AA2" s="6" t="inlineStr">
        <is>
          <t>PASS</t>
        </is>
      </c>
      <c r="AB2" s="6" t="inlineStr">
        <is>
          <t>Từ chối đúng</t>
        </is>
      </c>
      <c r="AC2" s="6" t="n"/>
      <c r="AD2" s="6">
        <f>IF(AC2="",AA2,AC2)</f>
        <v/>
      </c>
      <c r="AE2" s="6" t="n"/>
      <c r="AF2" s="6" t="n"/>
    </row>
    <row r="3">
      <c r="A3" s="6" t="inlineStr">
        <is>
          <t>NEG_X_002</t>
        </is>
      </c>
      <c r="B3" s="6" t="inlineStr">
        <is>
          <t>Negative</t>
        </is>
      </c>
      <c r="C3" s="6" t="inlineStr">
        <is>
          <t>Thuế suất thuế thu nhập doanh nghiệp phổ thông hiện nay là bao nhiêu phần trăm?</t>
        </is>
      </c>
      <c r="D3" s="6" t="inlineStr">
        <is>
          <t>Không có trong tài liệu - phải từ chối, không bịa điều luật.</t>
        </is>
      </c>
      <c r="E3" s="6" t="n"/>
      <c r="F3" s="6" t="n"/>
      <c r="G3" s="6" t="n"/>
      <c r="H3" s="6" t="n"/>
      <c r="I3" s="6" t="inlineStr">
        <is>
          <t>Easy</t>
        </is>
      </c>
      <c r="J3" s="6" t="inlineStr">
        <is>
          <t>None</t>
        </is>
      </c>
      <c r="K3" s="6" t="inlineStr">
        <is>
          <t>No</t>
        </is>
      </c>
      <c r="L3" s="6" t="inlineStr">
        <is>
          <t>Từ chối: 'Dựa trên tài liệu được cung cấp, tôi không tìm thấy thông tin để trả lời câu hỏi này.'</t>
        </is>
      </c>
      <c r="M3" s="6" t="inlineStr">
        <is>
          <t>Other law</t>
        </is>
      </c>
      <c r="N3" s="6" t="n"/>
      <c r="O3" s="6" t="n"/>
      <c r="P3" s="6" t="n"/>
      <c r="Q3" s="6" t="inlineStr"/>
      <c r="R3" s="6" t="inlineStr">
        <is>
          <t>Dựa trên tài liệu được cung cấp, tôi không tìm thấy thông tin để trả lời câu hỏi này.</t>
        </is>
      </c>
      <c r="S3" s="6" t="inlineStr"/>
      <c r="T3" s="6" t="inlineStr">
        <is>
          <t>[SOURCE_1] luu-ban-nhap-tu-dong-3-4 | tr.333 | "Đ "Điều 2 | 0.7307
[SOURCE_2] luu-ban-nhap-tu-dong-3-4 | tr.333 | "Đ "Điều 2 | 0.6538
[SOURCE_3] luu-ban-nhap-tu-dong-3-4 | tr.333 | "Đ "Điều 2 | 0.4502</t>
        </is>
      </c>
      <c r="U3" s="6" t="inlineStr">
        <is>
          <t>gemini-3.5-flash-lite</t>
        </is>
      </c>
      <c r="V3" s="6" t="n">
        <v>16.4</v>
      </c>
      <c r="W3" s="7" t="n"/>
      <c r="X3" s="7" t="n">
        <v>0</v>
      </c>
      <c r="Y3" s="6" t="inlineStr">
        <is>
          <t>No</t>
        </is>
      </c>
      <c r="Z3" s="6" t="inlineStr">
        <is>
          <t>n/a</t>
        </is>
      </c>
      <c r="AA3" s="6" t="inlineStr">
        <is>
          <t>PASS</t>
        </is>
      </c>
      <c r="AB3" s="6" t="inlineStr">
        <is>
          <t>Từ chối đúng</t>
        </is>
      </c>
      <c r="AC3" s="6" t="n"/>
      <c r="AD3" s="6">
        <f>IF(AC3="",AA3,AC3)</f>
        <v/>
      </c>
      <c r="AE3" s="6" t="n"/>
      <c r="AF3" s="6" t="n"/>
    </row>
    <row r="4">
      <c r="A4" s="6" t="inlineStr">
        <is>
          <t>NEG_X_003</t>
        </is>
      </c>
      <c r="B4" s="6" t="inlineStr">
        <is>
          <t>Negative</t>
        </is>
      </c>
      <c r="C4" s="6" t="inlineStr">
        <is>
          <t>Điều 250 Bộ luật Lao động 2019 quy định về vấn đề gì?</t>
        </is>
      </c>
      <c r="D4" s="6" t="inlineStr">
        <is>
          <t>Không có trong tài liệu - phải từ chối, không bịa điều luật.</t>
        </is>
      </c>
      <c r="E4" s="6" t="n"/>
      <c r="F4" s="6" t="n"/>
      <c r="G4" s="6" t="n"/>
      <c r="H4" s="6" t="n"/>
      <c r="I4" s="6" t="inlineStr">
        <is>
          <t>Easy</t>
        </is>
      </c>
      <c r="J4" s="6" t="inlineStr">
        <is>
          <t>None</t>
        </is>
      </c>
      <c r="K4" s="6" t="inlineStr">
        <is>
          <t>No</t>
        </is>
      </c>
      <c r="L4" s="6" t="inlineStr">
        <is>
          <t>Từ chối: 'Dựa trên tài liệu được cung cấp, tôi không tìm thấy thông tin để trả lời câu hỏi này.'</t>
        </is>
      </c>
      <c r="M4" s="6" t="inlineStr">
        <is>
          <t>Non-existent article</t>
        </is>
      </c>
      <c r="N4" s="6" t="n"/>
      <c r="O4" s="6" t="n"/>
      <c r="P4" s="6" t="n"/>
      <c r="Q4" s="6" t="inlineStr"/>
      <c r="R4" s="6" t="inlineStr">
        <is>
          <t>Dựa trên tài liệu được cung cấp, tôi không tìm thấy thông tin để trả lời câu hỏi này.</t>
        </is>
      </c>
      <c r="S4" s="6" t="inlineStr"/>
      <c r="T4" s="6" t="inlineStr">
        <is>
          <t>[SOURCE_1] ILO-VCCI_Labour-Law-Guide-Book-V04-Final | tr.111 | (ii) Giới hạn số giờ làm thêm trong năm | 0.7253
[SOURCE_2] ILO-VCCI_Labour-Law-Guide-Book-V04-Final | tr.8 | C ẨM NANG THỰC HIỆN BỘ LUẬT LAO ĐỘNG 2019 TẠI DOANH NGHIỆP | 0.3576</t>
        </is>
      </c>
      <c r="U4" s="6" t="inlineStr">
        <is>
          <t>gemini-3.5-flash-lite</t>
        </is>
      </c>
      <c r="V4" s="6" t="n">
        <v>30.6</v>
      </c>
      <c r="W4" s="7" t="n"/>
      <c r="X4" s="7" t="n">
        <v>0</v>
      </c>
      <c r="Y4" s="6" t="inlineStr">
        <is>
          <t>No</t>
        </is>
      </c>
      <c r="Z4" s="6" t="inlineStr">
        <is>
          <t>n/a</t>
        </is>
      </c>
      <c r="AA4" s="6" t="inlineStr">
        <is>
          <t>PASS</t>
        </is>
      </c>
      <c r="AB4" s="6" t="inlineStr">
        <is>
          <t>Từ chối đúng</t>
        </is>
      </c>
      <c r="AC4" s="6" t="n"/>
      <c r="AD4" s="6">
        <f>IF(AC4="",AA4,AC4)</f>
        <v/>
      </c>
      <c r="AE4" s="6" t="n"/>
      <c r="AF4" s="6" t="n"/>
    </row>
    <row r="5">
      <c r="A5" s="6" t="inlineStr">
        <is>
          <t>NEG_X_004</t>
        </is>
      </c>
      <c r="B5" s="6" t="inlineStr">
        <is>
          <t>Negative</t>
        </is>
      </c>
      <c r="C5" s="6" t="inlineStr">
        <is>
          <t>Thủ tục đăng ký kết hôn với người nước ngoài gồm những bước nào?</t>
        </is>
      </c>
      <c r="D5" s="6" t="inlineStr">
        <is>
          <t>Không có trong tài liệu - phải từ chối, không bịa điều luật.</t>
        </is>
      </c>
      <c r="E5" s="6" t="n"/>
      <c r="F5" s="6" t="n"/>
      <c r="G5" s="6" t="n"/>
      <c r="H5" s="6" t="n"/>
      <c r="I5" s="6" t="inlineStr">
        <is>
          <t>Easy</t>
        </is>
      </c>
      <c r="J5" s="6" t="inlineStr">
        <is>
          <t>None</t>
        </is>
      </c>
      <c r="K5" s="6" t="inlineStr">
        <is>
          <t>No</t>
        </is>
      </c>
      <c r="L5" s="6" t="inlineStr">
        <is>
          <t>Từ chối: 'Dựa trên tài liệu được cung cấp, tôi không tìm thấy thông tin để trả lời câu hỏi này.'</t>
        </is>
      </c>
      <c r="M5" s="6" t="inlineStr">
        <is>
          <t>Other law</t>
        </is>
      </c>
      <c r="N5" s="6" t="n"/>
      <c r="O5" s="6" t="n"/>
      <c r="P5" s="6" t="n"/>
      <c r="Q5" s="6" t="inlineStr"/>
      <c r="R5" s="6" t="inlineStr">
        <is>
          <t>Dựa trên tài liệu được cung cấp, tôi không tìm thấy thông tin để trả lời câu hỏi này.</t>
        </is>
      </c>
      <c r="S5" s="6" t="inlineStr"/>
      <c r="T5" s="6" t="inlineStr"/>
      <c r="U5" s="6" t="inlineStr">
        <is>
          <t>(no LLM call: early exit)</t>
        </is>
      </c>
      <c r="V5" s="6" t="n">
        <v>19.3</v>
      </c>
      <c r="W5" s="7" t="n"/>
      <c r="X5" s="7" t="n">
        <v>0</v>
      </c>
      <c r="Y5" s="6" t="inlineStr">
        <is>
          <t>No</t>
        </is>
      </c>
      <c r="Z5" s="6" t="inlineStr">
        <is>
          <t>n/a</t>
        </is>
      </c>
      <c r="AA5" s="6" t="inlineStr">
        <is>
          <t>PASS</t>
        </is>
      </c>
      <c r="AB5" s="6" t="inlineStr">
        <is>
          <t>Từ chối đúng</t>
        </is>
      </c>
      <c r="AC5" s="6" t="n"/>
      <c r="AD5" s="6">
        <f>IF(AC5="",AA5,AC5)</f>
        <v/>
      </c>
      <c r="AE5" s="6" t="n"/>
      <c r="AF5" s="6" t="n"/>
    </row>
    <row r="6">
      <c r="A6" s="6" t="inlineStr">
        <is>
          <t>NEG_X_005</t>
        </is>
      </c>
      <c r="B6" s="6" t="inlineStr">
        <is>
          <t>Negative</t>
        </is>
      </c>
      <c r="C6" s="6" t="inlineStr">
        <is>
          <t>Mức phạt khi xe máy vượt đèn đỏ là bao nhiêu?</t>
        </is>
      </c>
      <c r="D6" s="6" t="inlineStr">
        <is>
          <t>Không có trong tài liệu - phải từ chối, không bịa điều luật.</t>
        </is>
      </c>
      <c r="E6" s="6" t="n"/>
      <c r="F6" s="6" t="n"/>
      <c r="G6" s="6" t="n"/>
      <c r="H6" s="6" t="n"/>
      <c r="I6" s="6" t="inlineStr">
        <is>
          <t>Easy</t>
        </is>
      </c>
      <c r="J6" s="6" t="inlineStr">
        <is>
          <t>None</t>
        </is>
      </c>
      <c r="K6" s="6" t="inlineStr">
        <is>
          <t>No</t>
        </is>
      </c>
      <c r="L6" s="6" t="inlineStr">
        <is>
          <t>Từ chối: 'Dựa trên tài liệu được cung cấp, tôi không tìm thấy thông tin để trả lời câu hỏi này.'</t>
        </is>
      </c>
      <c r="M6" s="6" t="inlineStr">
        <is>
          <t>Other law</t>
        </is>
      </c>
      <c r="N6" s="6" t="n"/>
      <c r="O6" s="6" t="n"/>
      <c r="P6" s="6" t="n"/>
      <c r="Q6" s="6" t="inlineStr"/>
      <c r="R6" s="6" t="inlineStr">
        <is>
          <t>Dựa trên tài liệu được cung cấp, tôi không tìm thấy thông tin để trả lời câu hỏi này.</t>
        </is>
      </c>
      <c r="S6" s="6" t="inlineStr"/>
      <c r="T6" s="6" t="inlineStr"/>
      <c r="U6" s="6" t="inlineStr">
        <is>
          <t>(no LLM call: early exit)</t>
        </is>
      </c>
      <c r="V6" s="6" t="n">
        <v>23.3</v>
      </c>
      <c r="W6" s="7" t="n"/>
      <c r="X6" s="7" t="n">
        <v>0</v>
      </c>
      <c r="Y6" s="6" t="inlineStr">
        <is>
          <t>No</t>
        </is>
      </c>
      <c r="Z6" s="6" t="inlineStr">
        <is>
          <t>n/a</t>
        </is>
      </c>
      <c r="AA6" s="6" t="inlineStr">
        <is>
          <t>PASS</t>
        </is>
      </c>
      <c r="AB6" s="6" t="inlineStr">
        <is>
          <t>Từ chối đúng</t>
        </is>
      </c>
      <c r="AC6" s="6" t="n"/>
      <c r="AD6" s="6">
        <f>IF(AC6="",AA6,AC6)</f>
        <v/>
      </c>
      <c r="AE6" s="6" t="n"/>
      <c r="AF6" s="6" t="n"/>
    </row>
    <row r="7">
      <c r="A7" s="6" t="inlineStr">
        <is>
          <t>NEG_X_006</t>
        </is>
      </c>
      <c r="B7" s="6" t="inlineStr">
        <is>
          <t>Negative</t>
        </is>
      </c>
      <c r="C7" s="6" t="inlineStr">
        <is>
          <t>Hướng dẫn cách nấu phở bò Hà Nội.</t>
        </is>
      </c>
      <c r="D7" s="6" t="inlineStr">
        <is>
          <t>Không có trong tài liệu - phải từ chối, không bịa điều luật.</t>
        </is>
      </c>
      <c r="E7" s="6" t="n"/>
      <c r="F7" s="6" t="n"/>
      <c r="G7" s="6" t="n"/>
      <c r="H7" s="6" t="n"/>
      <c r="I7" s="6" t="inlineStr">
        <is>
          <t>Easy</t>
        </is>
      </c>
      <c r="J7" s="6" t="inlineStr">
        <is>
          <t>None</t>
        </is>
      </c>
      <c r="K7" s="6" t="inlineStr">
        <is>
          <t>No</t>
        </is>
      </c>
      <c r="L7" s="6" t="inlineStr">
        <is>
          <t>Từ chối: 'Dựa trên tài liệu được cung cấp, tôi không tìm thấy thông tin để trả lời câu hỏi này.'</t>
        </is>
      </c>
      <c r="M7" s="6" t="inlineStr">
        <is>
          <t>Off-topic</t>
        </is>
      </c>
      <c r="N7" s="6" t="n"/>
      <c r="O7" s="6" t="n"/>
      <c r="P7" s="6" t="n"/>
      <c r="Q7" s="6" t="inlineStr"/>
      <c r="R7" s="6" t="inlineStr">
        <is>
          <t>Dựa trên tài liệu được cung cấp, tôi không tìm thấy thông tin để trả lời câu hỏi này.</t>
        </is>
      </c>
      <c r="S7" s="6" t="inlineStr"/>
      <c r="T7" s="6" t="inlineStr"/>
      <c r="U7" s="6" t="inlineStr">
        <is>
          <t>(no LLM call: early exit)</t>
        </is>
      </c>
      <c r="V7" s="6" t="n">
        <v>25.3</v>
      </c>
      <c r="W7" s="7" t="n"/>
      <c r="X7" s="7" t="n">
        <v>0</v>
      </c>
      <c r="Y7" s="6" t="inlineStr">
        <is>
          <t>No</t>
        </is>
      </c>
      <c r="Z7" s="6" t="inlineStr">
        <is>
          <t>n/a</t>
        </is>
      </c>
      <c r="AA7" s="6" t="inlineStr">
        <is>
          <t>PASS</t>
        </is>
      </c>
      <c r="AB7" s="6" t="inlineStr">
        <is>
          <t>Từ chối đúng</t>
        </is>
      </c>
      <c r="AC7" s="6" t="n"/>
      <c r="AD7" s="6">
        <f>IF(AC7="",AA7,AC7)</f>
        <v/>
      </c>
      <c r="AE7" s="6" t="n"/>
      <c r="AF7" s="6" t="n"/>
    </row>
    <row r="8">
      <c r="A8" s="6" t="inlineStr">
        <is>
          <t>NEG_X_007</t>
        </is>
      </c>
      <c r="B8" s="6" t="inlineStr">
        <is>
          <t>Negative</t>
        </is>
      </c>
      <c r="C8" s="6" t="inlineStr">
        <is>
          <t>Theo Bộ luật Hình sự, tội trộm cắp tài sản bị phạt tù tối đa bao nhiêu năm?</t>
        </is>
      </c>
      <c r="D8" s="6" t="inlineStr">
        <is>
          <t>Không có trong tài liệu - phải từ chối, không bịa điều luật.</t>
        </is>
      </c>
      <c r="E8" s="6" t="n"/>
      <c r="F8" s="6" t="n"/>
      <c r="G8" s="6" t="n"/>
      <c r="H8" s="6" t="n"/>
      <c r="I8" s="6" t="inlineStr">
        <is>
          <t>Easy</t>
        </is>
      </c>
      <c r="J8" s="6" t="inlineStr">
        <is>
          <t>None</t>
        </is>
      </c>
      <c r="K8" s="6" t="inlineStr">
        <is>
          <t>No</t>
        </is>
      </c>
      <c r="L8" s="6" t="inlineStr">
        <is>
          <t>Từ chối: 'Dựa trên tài liệu được cung cấp, tôi không tìm thấy thông tin để trả lời câu hỏi này.'</t>
        </is>
      </c>
      <c r="M8" s="6" t="inlineStr">
        <is>
          <t>Other law</t>
        </is>
      </c>
      <c r="N8" s="6" t="n"/>
      <c r="O8" s="6" t="n"/>
      <c r="P8" s="6" t="n"/>
      <c r="Q8" s="6" t="inlineStr"/>
      <c r="R8" s="6" t="inlineStr">
        <is>
          <t>Dựa trên tài liệu được cung cấp, tôi không tìm thấy thông tin để trả lời câu hỏi này.</t>
        </is>
      </c>
      <c r="S8" s="6" t="inlineStr"/>
      <c r="T8" s="6" t="inlineStr"/>
      <c r="U8" s="6" t="inlineStr">
        <is>
          <t>(no LLM call: early exit)</t>
        </is>
      </c>
      <c r="V8" s="6" t="n">
        <v>15.9</v>
      </c>
      <c r="W8" s="7" t="n"/>
      <c r="X8" s="7" t="n">
        <v>0</v>
      </c>
      <c r="Y8" s="6" t="inlineStr">
        <is>
          <t>No</t>
        </is>
      </c>
      <c r="Z8" s="6" t="inlineStr">
        <is>
          <t>n/a</t>
        </is>
      </c>
      <c r="AA8" s="6" t="inlineStr">
        <is>
          <t>PASS</t>
        </is>
      </c>
      <c r="AB8" s="6" t="inlineStr">
        <is>
          <t>Từ chối đúng</t>
        </is>
      </c>
      <c r="AC8" s="6" t="n"/>
      <c r="AD8" s="6">
        <f>IF(AC8="",AA8,AC8)</f>
        <v/>
      </c>
      <c r="AE8" s="6" t="n"/>
      <c r="AF8" s="6" t="n"/>
    </row>
    <row r="9">
      <c r="A9" s="6" t="inlineStr">
        <is>
          <t>NEG_X_008</t>
        </is>
      </c>
      <c r="B9" s="6" t="inlineStr">
        <is>
          <t>Negative</t>
        </is>
      </c>
      <c r="C9" s="6" t="inlineStr">
        <is>
          <t>Điều 999 của Bộ luật Lao động quy định gì về làm thêm giờ?</t>
        </is>
      </c>
      <c r="D9" s="6" t="inlineStr">
        <is>
          <t>Không có trong tài liệu - phải từ chối, không bịa điều luật.</t>
        </is>
      </c>
      <c r="E9" s="6" t="n"/>
      <c r="F9" s="6" t="n"/>
      <c r="G9" s="6" t="n"/>
      <c r="H9" s="6" t="n"/>
      <c r="I9" s="6" t="inlineStr">
        <is>
          <t>Easy</t>
        </is>
      </c>
      <c r="J9" s="6" t="inlineStr">
        <is>
          <t>None</t>
        </is>
      </c>
      <c r="K9" s="6" t="inlineStr">
        <is>
          <t>No</t>
        </is>
      </c>
      <c r="L9" s="6" t="inlineStr">
        <is>
          <t>Từ chối: 'Dựa trên tài liệu được cung cấp, tôi không tìm thấy thông tin để trả lời câu hỏi này.'</t>
        </is>
      </c>
      <c r="M9" s="6" t="inlineStr">
        <is>
          <t>Non-existent article</t>
        </is>
      </c>
      <c r="N9" s="6" t="n"/>
      <c r="O9" s="6" t="n"/>
      <c r="P9" s="6" t="n"/>
      <c r="Q9" s="6" t="inlineStr"/>
      <c r="R9" s="6" t="inlineStr">
        <is>
          <t>Dựa trên tài liệu được cung cấp, tôi không tìm thấy thông tin để trả lời câu hỏi này.</t>
        </is>
      </c>
      <c r="S9" s="6" t="inlineStr"/>
      <c r="T9" s="6" t="inlineStr">
        <is>
          <t>[SOURCE_1] luu-ban-nhap-tu-dong-3-4 | tr.101 | Điều 106. Làm thêm giờ | 0.8815
[SOURCE_2] ILO-VCCI_Labour-Law-Guide-Book-V04-Final | tr.110 | II. LÀM THÊM GIỜ | 0.8059
[SOURCE_3] luu-ban-nhap-tu-dong-3-4 | tr.557 | Điều 4. Làm thêm giờ | 0.781
[SOURCE_4] luu-ban-nhap-tu-dong-3-4 | tr.33 | Điều 98. Tiền lương làm thêm giờ, làm việc vào ban đêm | 0.683</t>
        </is>
      </c>
      <c r="U9" s="6" t="inlineStr">
        <is>
          <t>gemini-3.5-flash-lite</t>
        </is>
      </c>
      <c r="V9" s="6" t="n">
        <v>27.4</v>
      </c>
      <c r="W9" s="7" t="n"/>
      <c r="X9" s="7" t="n">
        <v>0</v>
      </c>
      <c r="Y9" s="6" t="inlineStr">
        <is>
          <t>No</t>
        </is>
      </c>
      <c r="Z9" s="6" t="inlineStr">
        <is>
          <t>n/a</t>
        </is>
      </c>
      <c r="AA9" s="6" t="inlineStr">
        <is>
          <t>PASS</t>
        </is>
      </c>
      <c r="AB9" s="6" t="inlineStr">
        <is>
          <t>Từ chối đúng</t>
        </is>
      </c>
      <c r="AC9" s="6" t="n"/>
      <c r="AD9" s="6">
        <f>IF(AC9="",AA9,AC9)</f>
        <v/>
      </c>
      <c r="AE9" s="6" t="n"/>
      <c r="AF9" s="6" t="n"/>
    </row>
    <row r="10">
      <c r="A10" s="6" t="inlineStr">
        <is>
          <t>NEG_X_009</t>
        </is>
      </c>
      <c r="B10" s="6" t="inlineStr">
        <is>
          <t>Negative</t>
        </is>
      </c>
      <c r="C10" s="6" t="inlineStr">
        <is>
          <t>Thủ tục xin cấp hộ chiếu phổ thông cần những giấy tờ gì?</t>
        </is>
      </c>
      <c r="D10" s="6" t="inlineStr">
        <is>
          <t>Không có trong tài liệu - phải từ chối, không bịa điều luật.</t>
        </is>
      </c>
      <c r="E10" s="6" t="n"/>
      <c r="F10" s="6" t="n"/>
      <c r="G10" s="6" t="n"/>
      <c r="H10" s="6" t="n"/>
      <c r="I10" s="6" t="inlineStr">
        <is>
          <t>Easy</t>
        </is>
      </c>
      <c r="J10" s="6" t="inlineStr">
        <is>
          <t>None</t>
        </is>
      </c>
      <c r="K10" s="6" t="inlineStr">
        <is>
          <t>No</t>
        </is>
      </c>
      <c r="L10" s="6" t="inlineStr">
        <is>
          <t>Từ chối: 'Dựa trên tài liệu được cung cấp, tôi không tìm thấy thông tin để trả lời câu hỏi này.'</t>
        </is>
      </c>
      <c r="M10" s="6" t="inlineStr">
        <is>
          <t>Other law</t>
        </is>
      </c>
      <c r="N10" s="6" t="n"/>
      <c r="O10" s="6" t="n"/>
      <c r="P10" s="6" t="n"/>
      <c r="Q10" s="6" t="inlineStr"/>
      <c r="R10" s="6" t="inlineStr">
        <is>
          <t>Dựa trên tài liệu được cung cấp, tôi không tìm thấy thông tin để trả lời câu hỏi này.</t>
        </is>
      </c>
      <c r="S10" s="6" t="inlineStr"/>
      <c r="T10" s="6" t="inlineStr">
        <is>
          <t>[SOURCE_1] luu-ban-nhap-tu-dong-3-4 | tr.393 | Điều 10. Hồ sơ đề nghị cấp giấy phép lao động | 0.4778</t>
        </is>
      </c>
      <c r="U10" s="6" t="inlineStr">
        <is>
          <t>gemini-3.5-flash-lite</t>
        </is>
      </c>
      <c r="V10" s="6" t="n">
        <v>13.4</v>
      </c>
      <c r="W10" s="7" t="n"/>
      <c r="X10" s="7" t="n">
        <v>0</v>
      </c>
      <c r="Y10" s="6" t="inlineStr">
        <is>
          <t>No</t>
        </is>
      </c>
      <c r="Z10" s="6" t="inlineStr">
        <is>
          <t>n/a</t>
        </is>
      </c>
      <c r="AA10" s="6" t="inlineStr">
        <is>
          <t>PASS</t>
        </is>
      </c>
      <c r="AB10" s="6" t="inlineStr">
        <is>
          <t>Từ chối đúng</t>
        </is>
      </c>
      <c r="AC10" s="6" t="n"/>
      <c r="AD10" s="6">
        <f>IF(AC10="",AA10,AC10)</f>
        <v/>
      </c>
      <c r="AE10" s="6" t="n"/>
      <c r="AF10" s="6" t="n"/>
    </row>
    <row r="11">
      <c r="A11" s="6" t="inlineStr">
        <is>
          <t>NEG_X_010</t>
        </is>
      </c>
      <c r="B11" s="6" t="inlineStr">
        <is>
          <t>Negative</t>
        </is>
      </c>
      <c r="C11" s="6" t="inlineStr">
        <is>
          <t>Luật Doanh nghiệp quy định vốn điều lệ tối thiểu của công ty cổ phần là bao nhiêu?</t>
        </is>
      </c>
      <c r="D11" s="6" t="inlineStr">
        <is>
          <t>Không có trong tài liệu - phải từ chối, không bịa điều luật.</t>
        </is>
      </c>
      <c r="E11" s="6" t="n"/>
      <c r="F11" s="6" t="n"/>
      <c r="G11" s="6" t="n"/>
      <c r="H11" s="6" t="n"/>
      <c r="I11" s="6" t="inlineStr">
        <is>
          <t>Easy</t>
        </is>
      </c>
      <c r="J11" s="6" t="inlineStr">
        <is>
          <t>None</t>
        </is>
      </c>
      <c r="K11" s="6" t="inlineStr">
        <is>
          <t>No</t>
        </is>
      </c>
      <c r="L11" s="6" t="inlineStr">
        <is>
          <t>Từ chối: 'Dựa trên tài liệu được cung cấp, tôi không tìm thấy thông tin để trả lời câu hỏi này.'</t>
        </is>
      </c>
      <c r="M11" s="6" t="inlineStr">
        <is>
          <t>Other law</t>
        </is>
      </c>
      <c r="N11" s="6" t="n"/>
      <c r="O11" s="6" t="n"/>
      <c r="P11" s="6" t="n"/>
      <c r="Q11" s="6" t="inlineStr"/>
      <c r="R11" s="6" t="inlineStr">
        <is>
          <t>Dựa trên tài liệu được cung cấp, tôi không tìm thấy thông tin để trả lời câu hỏi này.</t>
        </is>
      </c>
      <c r="S11" s="6" t="inlineStr"/>
      <c r="T11" s="6" t="inlineStr"/>
      <c r="U11" s="6" t="inlineStr">
        <is>
          <t>(no LLM call: early exit)</t>
        </is>
      </c>
      <c r="V11" s="6" t="n">
        <v>16.1</v>
      </c>
      <c r="W11" s="7" t="n"/>
      <c r="X11" s="7" t="n">
        <v>0</v>
      </c>
      <c r="Y11" s="6" t="inlineStr">
        <is>
          <t>No</t>
        </is>
      </c>
      <c r="Z11" s="6" t="inlineStr">
        <is>
          <t>n/a</t>
        </is>
      </c>
      <c r="AA11" s="6" t="inlineStr">
        <is>
          <t>PASS</t>
        </is>
      </c>
      <c r="AB11" s="6" t="inlineStr">
        <is>
          <t>Từ chối đúng</t>
        </is>
      </c>
      <c r="AC11" s="6" t="n"/>
      <c r="AD11" s="6">
        <f>IF(AC11="",AA11,AC11)</f>
        <v/>
      </c>
      <c r="AE11" s="6" t="n"/>
      <c r="AF11" s="6" t="n"/>
    </row>
    <row r="12">
      <c r="A12" s="6" t="inlineStr">
        <is>
          <t>NEG_X_011</t>
        </is>
      </c>
      <c r="B12" s="6" t="inlineStr">
        <is>
          <t>Negative</t>
        </is>
      </c>
      <c r="C12" s="6" t="inlineStr">
        <is>
          <t>Giá vàng SJC hôm nay là bao nhiêu?</t>
        </is>
      </c>
      <c r="D12" s="6" t="inlineStr">
        <is>
          <t>Không có trong tài liệu - phải từ chối, không bịa điều luật.</t>
        </is>
      </c>
      <c r="E12" s="6" t="n"/>
      <c r="F12" s="6" t="n"/>
      <c r="G12" s="6" t="n"/>
      <c r="H12" s="6" t="n"/>
      <c r="I12" s="6" t="inlineStr">
        <is>
          <t>Easy</t>
        </is>
      </c>
      <c r="J12" s="6" t="inlineStr">
        <is>
          <t>None</t>
        </is>
      </c>
      <c r="K12" s="6" t="inlineStr">
        <is>
          <t>No</t>
        </is>
      </c>
      <c r="L12" s="6" t="inlineStr">
        <is>
          <t>Từ chối: 'Dựa trên tài liệu được cung cấp, tôi không tìm thấy thông tin để trả lời câu hỏi này.'</t>
        </is>
      </c>
      <c r="M12" s="6" t="inlineStr">
        <is>
          <t>Off-topic</t>
        </is>
      </c>
      <c r="N12" s="6" t="n"/>
      <c r="O12" s="6" t="n"/>
      <c r="P12" s="6" t="n"/>
      <c r="Q12" s="6" t="inlineStr"/>
      <c r="R12" s="6" t="inlineStr">
        <is>
          <t>Dựa trên tài liệu được cung cấp, tôi không tìm thấy thông tin để trả lời câu hỏi này.</t>
        </is>
      </c>
      <c r="S12" s="6" t="inlineStr"/>
      <c r="T12" s="6" t="inlineStr"/>
      <c r="U12" s="6" t="inlineStr">
        <is>
          <t>(no LLM call: early exit)</t>
        </is>
      </c>
      <c r="V12" s="6" t="n">
        <v>32.1</v>
      </c>
      <c r="W12" s="7" t="n"/>
      <c r="X12" s="7" t="n">
        <v>0</v>
      </c>
      <c r="Y12" s="6" t="inlineStr">
        <is>
          <t>No</t>
        </is>
      </c>
      <c r="Z12" s="6" t="inlineStr">
        <is>
          <t>n/a</t>
        </is>
      </c>
      <c r="AA12" s="6" t="inlineStr">
        <is>
          <t>PASS</t>
        </is>
      </c>
      <c r="AB12" s="6" t="inlineStr">
        <is>
          <t>Từ chối đúng</t>
        </is>
      </c>
      <c r="AC12" s="6" t="n"/>
      <c r="AD12" s="6">
        <f>IF(AC12="",AA12,AC12)</f>
        <v/>
      </c>
      <c r="AE12" s="6" t="n"/>
      <c r="AF12" s="6" t="n"/>
    </row>
    <row r="13">
      <c r="A13" s="6" t="inlineStr">
        <is>
          <t>NEG_X_012</t>
        </is>
      </c>
      <c r="B13" s="6" t="inlineStr">
        <is>
          <t>Negative</t>
        </is>
      </c>
      <c r="C13" s="6" t="inlineStr">
        <is>
          <t>Theo Bộ luật Lao động năm 2030, tuổi nghỉ hưu của lao động nam là bao nhiêu?</t>
        </is>
      </c>
      <c r="D13" s="6" t="inlineStr">
        <is>
          <t>Không có trong tài liệu - phải từ chối, không bịa điều luật.</t>
        </is>
      </c>
      <c r="E13" s="6" t="n"/>
      <c r="F13" s="6" t="n"/>
      <c r="G13" s="6" t="n"/>
      <c r="H13" s="6" t="n"/>
      <c r="I13" s="6" t="inlineStr">
        <is>
          <t>Easy</t>
        </is>
      </c>
      <c r="J13" s="6" t="inlineStr">
        <is>
          <t>None</t>
        </is>
      </c>
      <c r="K13" s="6" t="inlineStr">
        <is>
          <t>No</t>
        </is>
      </c>
      <c r="L13" s="6" t="inlineStr">
        <is>
          <t>Từ chối: 'Dựa trên tài liệu được cung cấp, tôi không tìm thấy thông tin để trả lời câu hỏi này.'</t>
        </is>
      </c>
      <c r="M13" s="6" t="inlineStr">
        <is>
          <t>Non-existent law</t>
        </is>
      </c>
      <c r="N13" s="6" t="n"/>
      <c r="O13" s="6" t="n"/>
      <c r="P13" s="6" t="n"/>
      <c r="Q13" s="6" t="inlineStr"/>
      <c r="R13" s="6" t="inlineStr">
        <is>
          <t>Dựa trên lộ trình điều chỉnh tuổi nghỉ hưu đối với lao động nam trong điều kiện lao động bình thường, tuổi nghỉ hưu đạt mức 62 tuổi vào năm 2028 [SOURCE_1], [SOURCE_3]. Từ năm 2028 trở đi, tuổi nghỉ hưu của lao động nam là 62 tuổi [SOURCE_1]. Do đó, vào năm 2030, tuổi nghỉ hưu của lao động nam vẫn là **62 tuổi** [SOURCE_1].</t>
        </is>
      </c>
      <c r="S13" s="6" t="inlineStr">
        <is>
          <t>[SOURCE_1] ILO-VCCI_Labour-Law-Guide-Book-V04-Final | tr.119 | CHƯƠNG VII. TUỔI NGHỈ HƯU VÀ LAO ĐỘNG SAU ĐỘ TUỔI NGHỈ HƯU &gt; | 0.9765
[SOURCE_3] ILO-VCCI_Labour-Law-Guide-Book-V04-Final | tr.119 | CHƯƠNG VII. TUỔI NGHỈ HƯU VÀ LAO ĐỘNG SAU ĐỘ TUỔI NGHỈ HƯU &gt; | 0.9692</t>
        </is>
      </c>
      <c r="T13" s="6" t="inlineStr">
        <is>
          <t>[SOURCE_1] ILO-VCCI_Labour-Law-Guide-Book-V04-Final | tr.119 | CHƯƠNG VII. TUỔI NGHỈ HƯU VÀ LAO ĐỘNG SAU ĐỘ TUỔI NGHỈ HƯU &gt; | 0.9765
[SOURCE_2] Văn-bản-hợp-nhất-18-VBHN-VPQH | tr.62 | Điều 169. Tuổi nghỉ hưu | 0.9701
[SOURCE_3] ILO-VCCI_Labour-Law-Guide-Book-V04-Final | tr.119 | CHƯƠNG VII. TUỔI NGHỈ HƯU VÀ LAO ĐỘNG SAU ĐỘ TUỔI NGHỈ HƯU &gt; | 0.9692
[SOURCE_4] ILO-VCCI_Labour-Law-Guide-Book-V04-Final | tr.120 | 2. Nghỉ hưu ở tuổi thấp hơn tuổi nghỉ hưu trong điều kiện la | 0.9668
[SOURCE_5] ILO-VCCI_Labour-Law-Guide-Book-V04-Final | tr.120 | 2. Nghỉ hưu ở tuổi thấp hơn tuổi nghỉ hưu trong điều kiện la | 0.9244</t>
        </is>
      </c>
      <c r="U13" s="6" t="inlineStr">
        <is>
          <t>gemini-3.5-flash-lite</t>
        </is>
      </c>
      <c r="V13" s="6" t="n">
        <v>17.5</v>
      </c>
      <c r="W13" s="7" t="n"/>
      <c r="X13" s="7" t="n">
        <v>0.25</v>
      </c>
      <c r="Y13" s="6" t="inlineStr">
        <is>
          <t>No</t>
        </is>
      </c>
      <c r="Z13" s="6" t="inlineStr">
        <is>
          <t>n/a</t>
        </is>
      </c>
      <c r="AA13" s="6" t="inlineStr">
        <is>
          <t>FAIL</t>
        </is>
      </c>
      <c r="AB13" s="6" t="inlineStr">
        <is>
          <t>Trả lời câu hỏi không có đáp án (nguy cơ bịa)</t>
        </is>
      </c>
      <c r="AC13" s="6" t="n"/>
      <c r="AD13" s="6">
        <f>IF(AC13="",AA13,AC13)</f>
        <v/>
      </c>
      <c r="AE13" s="6" t="n"/>
      <c r="AF13" s="6" t="n"/>
    </row>
    <row r="14">
      <c r="A14" s="6" t="inlineStr">
        <is>
          <t>NEG_X_013</t>
        </is>
      </c>
      <c r="B14" s="6" t="inlineStr">
        <is>
          <t>Negative</t>
        </is>
      </c>
      <c r="C14" s="6" t="inlineStr">
        <is>
          <t>Luật của bang California (Mỹ) quy định lương làm thêm giờ như thế nào?</t>
        </is>
      </c>
      <c r="D14" s="6" t="inlineStr">
        <is>
          <t>Không có trong tài liệu - phải từ chối, không bịa điều luật.</t>
        </is>
      </c>
      <c r="E14" s="6" t="n"/>
      <c r="F14" s="6" t="n"/>
      <c r="G14" s="6" t="n"/>
      <c r="H14" s="6" t="n"/>
      <c r="I14" s="6" t="inlineStr">
        <is>
          <t>Easy</t>
        </is>
      </c>
      <c r="J14" s="6" t="inlineStr">
        <is>
          <t>None</t>
        </is>
      </c>
      <c r="K14" s="6" t="inlineStr">
        <is>
          <t>No</t>
        </is>
      </c>
      <c r="L14" s="6" t="inlineStr">
        <is>
          <t>Từ chối: 'Dựa trên tài liệu được cung cấp, tôi không tìm thấy thông tin để trả lời câu hỏi này.'</t>
        </is>
      </c>
      <c r="M14" s="6" t="inlineStr">
        <is>
          <t>Other jurisdiction</t>
        </is>
      </c>
      <c r="N14" s="6" t="n"/>
      <c r="O14" s="6" t="n"/>
      <c r="P14" s="6" t="n"/>
      <c r="Q14" s="6" t="inlineStr"/>
      <c r="R14" s="6" t="inlineStr">
        <is>
          <t>Dựa trên tài liệu được cung cấp, tôi không tìm thấy thông tin để trả lời câu hỏi này.</t>
        </is>
      </c>
      <c r="S14" s="6" t="inlineStr"/>
      <c r="T14" s="6" t="inlineStr">
        <is>
          <t>[SOURCE_1] luu-ban-nhap-tu-dong-3-4 | tr.101 | Điều 106. Làm thêm giờ | 0.4448
[SOURCE_2] giao trinh Luat lao dong CB 2005 (1) | tr.59 | 4. Trả lương khi làm thêm giờ | 0.3501</t>
        </is>
      </c>
      <c r="U14" s="6" t="inlineStr">
        <is>
          <t>gemini-3.5-flash-lite</t>
        </is>
      </c>
      <c r="V14" s="6" t="n">
        <v>28.4</v>
      </c>
      <c r="W14" s="7" t="n"/>
      <c r="X14" s="7" t="n">
        <v>0</v>
      </c>
      <c r="Y14" s="6" t="inlineStr">
        <is>
          <t>No</t>
        </is>
      </c>
      <c r="Z14" s="6" t="inlineStr">
        <is>
          <t>n/a</t>
        </is>
      </c>
      <c r="AA14" s="6" t="inlineStr">
        <is>
          <t>PASS</t>
        </is>
      </c>
      <c r="AB14" s="6" t="inlineStr">
        <is>
          <t>Từ chối đúng</t>
        </is>
      </c>
      <c r="AC14" s="6" t="n"/>
      <c r="AD14" s="6">
        <f>IF(AC14="",AA14,AC14)</f>
        <v/>
      </c>
      <c r="AE14" s="6" t="n"/>
      <c r="AF14" s="6" t="n"/>
    </row>
    <row r="15">
      <c r="A15" s="6" t="inlineStr">
        <is>
          <t>NEG_X_014</t>
        </is>
      </c>
      <c r="B15" s="6" t="inlineStr">
        <is>
          <t>Negative</t>
        </is>
      </c>
      <c r="C15" s="6" t="inlineStr">
        <is>
          <t>Bộ luật Dân sự quy định quyền thừa kế theo di chúc như thế nào?</t>
        </is>
      </c>
      <c r="D15" s="6" t="inlineStr">
        <is>
          <t>Không có trong tài liệu - phải từ chối, không bịa điều luật.</t>
        </is>
      </c>
      <c r="E15" s="6" t="n"/>
      <c r="F15" s="6" t="n"/>
      <c r="G15" s="6" t="n"/>
      <c r="H15" s="6" t="n"/>
      <c r="I15" s="6" t="inlineStr">
        <is>
          <t>Easy</t>
        </is>
      </c>
      <c r="J15" s="6" t="inlineStr">
        <is>
          <t>None</t>
        </is>
      </c>
      <c r="K15" s="6" t="inlineStr">
        <is>
          <t>No</t>
        </is>
      </c>
      <c r="L15" s="6" t="inlineStr">
        <is>
          <t>Từ chối: 'Dựa trên tài liệu được cung cấp, tôi không tìm thấy thông tin để trả lời câu hỏi này.'</t>
        </is>
      </c>
      <c r="M15" s="6" t="inlineStr">
        <is>
          <t>Other law</t>
        </is>
      </c>
      <c r="N15" s="6" t="n"/>
      <c r="O15" s="6" t="n"/>
      <c r="P15" s="6" t="n"/>
      <c r="Q15" s="6" t="inlineStr"/>
      <c r="R15" s="6" t="inlineStr">
        <is>
          <t>Dựa trên tài liệu được cung cấp, tôi không tìm thấy thông tin để trả lời câu hỏi này.</t>
        </is>
      </c>
      <c r="S15" s="6" t="inlineStr"/>
      <c r="T15" s="6" t="inlineStr"/>
      <c r="U15" s="6" t="inlineStr">
        <is>
          <t>(no LLM call: early exit)</t>
        </is>
      </c>
      <c r="V15" s="6" t="n">
        <v>18.8</v>
      </c>
      <c r="W15" s="7" t="n"/>
      <c r="X15" s="7" t="n">
        <v>0</v>
      </c>
      <c r="Y15" s="6" t="inlineStr">
        <is>
          <t>No</t>
        </is>
      </c>
      <c r="Z15" s="6" t="inlineStr">
        <is>
          <t>n/a</t>
        </is>
      </c>
      <c r="AA15" s="6" t="inlineStr">
        <is>
          <t>PASS</t>
        </is>
      </c>
      <c r="AB15" s="6" t="inlineStr">
        <is>
          <t>Từ chối đúng</t>
        </is>
      </c>
      <c r="AC15" s="6" t="n"/>
      <c r="AD15" s="6">
        <f>IF(AC15="",AA15,AC15)</f>
        <v/>
      </c>
      <c r="AE15" s="6" t="n"/>
      <c r="AF15" s="6" t="n"/>
    </row>
    <row r="16">
      <c r="A16" s="6" t="inlineStr">
        <is>
          <t>NEG_X_015</t>
        </is>
      </c>
      <c r="B16" s="6" t="inlineStr">
        <is>
          <t>Negative</t>
        </is>
      </c>
      <c r="C16" s="6" t="inlineStr">
        <is>
          <t>Điều kiện để được cấp giấy phép lái xe hạng B2 là gì?</t>
        </is>
      </c>
      <c r="D16" s="6" t="inlineStr">
        <is>
          <t>Không có trong tài liệu - phải từ chối, không bịa điều luật.</t>
        </is>
      </c>
      <c r="E16" s="6" t="n"/>
      <c r="F16" s="6" t="n"/>
      <c r="G16" s="6" t="n"/>
      <c r="H16" s="6" t="n"/>
      <c r="I16" s="6" t="inlineStr">
        <is>
          <t>Easy</t>
        </is>
      </c>
      <c r="J16" s="6" t="inlineStr">
        <is>
          <t>None</t>
        </is>
      </c>
      <c r="K16" s="6" t="inlineStr">
        <is>
          <t>No</t>
        </is>
      </c>
      <c r="L16" s="6" t="inlineStr">
        <is>
          <t>Từ chối: 'Dựa trên tài liệu được cung cấp, tôi không tìm thấy thông tin để trả lời câu hỏi này.'</t>
        </is>
      </c>
      <c r="M16" s="6" t="inlineStr">
        <is>
          <t>Other law</t>
        </is>
      </c>
      <c r="N16" s="6" t="n"/>
      <c r="O16" s="6" t="n"/>
      <c r="P16" s="6" t="n"/>
      <c r="Q16" s="6" t="inlineStr"/>
      <c r="R16" s="6" t="inlineStr">
        <is>
          <t>Dựa trên tài liệu được cung cấp, tôi không tìm thấy thông tin để trả lời câu hỏi này.</t>
        </is>
      </c>
      <c r="S16" s="6" t="inlineStr"/>
      <c r="T16" s="6" t="inlineStr"/>
      <c r="U16" s="6" t="inlineStr">
        <is>
          <t>(no LLM call: early exit)</t>
        </is>
      </c>
      <c r="V16" s="6" t="n">
        <v>15</v>
      </c>
      <c r="W16" s="7" t="n"/>
      <c r="X16" s="7" t="n">
        <v>0</v>
      </c>
      <c r="Y16" s="6" t="inlineStr">
        <is>
          <t>No</t>
        </is>
      </c>
      <c r="Z16" s="6" t="inlineStr">
        <is>
          <t>n/a</t>
        </is>
      </c>
      <c r="AA16" s="6" t="inlineStr">
        <is>
          <t>PASS</t>
        </is>
      </c>
      <c r="AB16" s="6" t="inlineStr">
        <is>
          <t>Từ chối đúng</t>
        </is>
      </c>
      <c r="AC16" s="6" t="n"/>
      <c r="AD16" s="6">
        <f>IF(AC16="",AA16,AC16)</f>
        <v/>
      </c>
      <c r="AE16" s="6" t="n"/>
      <c r="AF16" s="6" t="n"/>
    </row>
    <row r="17">
      <c r="A17" s="6" t="inlineStr">
        <is>
          <t>NEG_X_016</t>
        </is>
      </c>
      <c r="B17" s="6" t="inlineStr">
        <is>
          <t>Negative</t>
        </is>
      </c>
      <c r="C17" s="6" t="inlineStr">
        <is>
          <t>Nghị định 999/2030/NĐ-CP quy định nội dung gì?</t>
        </is>
      </c>
      <c r="D17" s="6" t="inlineStr">
        <is>
          <t>Không có trong tài liệu - phải từ chối, không bịa điều luật.</t>
        </is>
      </c>
      <c r="E17" s="6" t="n"/>
      <c r="F17" s="6" t="n"/>
      <c r="G17" s="6" t="n"/>
      <c r="H17" s="6" t="n"/>
      <c r="I17" s="6" t="inlineStr">
        <is>
          <t>Easy</t>
        </is>
      </c>
      <c r="J17" s="6" t="inlineStr">
        <is>
          <t>None</t>
        </is>
      </c>
      <c r="K17" s="6" t="inlineStr">
        <is>
          <t>No</t>
        </is>
      </c>
      <c r="L17" s="6" t="inlineStr">
        <is>
          <t>Từ chối: 'Dựa trên tài liệu được cung cấp, tôi không tìm thấy thông tin để trả lời câu hỏi này.'</t>
        </is>
      </c>
      <c r="M17" s="6" t="inlineStr">
        <is>
          <t>Non-existent law</t>
        </is>
      </c>
      <c r="N17" s="6" t="n"/>
      <c r="O17" s="6" t="n"/>
      <c r="P17" s="6" t="n"/>
      <c r="Q17" s="6" t="inlineStr"/>
      <c r="R17" s="6" t="inlineStr">
        <is>
          <t>Dựa trên tài liệu được cung cấp, tôi không tìm thấy thông tin để trả lời câu hỏi này.</t>
        </is>
      </c>
      <c r="S17" s="6" t="inlineStr"/>
      <c r="T17" s="6" t="inlineStr"/>
      <c r="U17" s="6" t="inlineStr">
        <is>
          <t>(no LLM call: early exit)</t>
        </is>
      </c>
      <c r="V17" s="6" t="n">
        <v>22</v>
      </c>
      <c r="W17" s="7" t="n"/>
      <c r="X17" s="7" t="n">
        <v>0</v>
      </c>
      <c r="Y17" s="6" t="inlineStr">
        <is>
          <t>No</t>
        </is>
      </c>
      <c r="Z17" s="6" t="inlineStr">
        <is>
          <t>n/a</t>
        </is>
      </c>
      <c r="AA17" s="6" t="inlineStr">
        <is>
          <t>PASS</t>
        </is>
      </c>
      <c r="AB17" s="6" t="inlineStr">
        <is>
          <t>Từ chối đúng</t>
        </is>
      </c>
      <c r="AC17" s="6" t="n"/>
      <c r="AD17" s="6">
        <f>IF(AC17="",AA17,AC17)</f>
        <v/>
      </c>
      <c r="AE17" s="6" t="n"/>
      <c r="AF17" s="6" t="n"/>
    </row>
    <row r="18">
      <c r="A18" s="6" t="inlineStr">
        <is>
          <t>NEG_X_017</t>
        </is>
      </c>
      <c r="B18" s="6" t="inlineStr">
        <is>
          <t>Negative</t>
        </is>
      </c>
      <c r="C18" s="6" t="inlineStr">
        <is>
          <t>Công thức tính diện tích hình tròn là gì?</t>
        </is>
      </c>
      <c r="D18" s="6" t="inlineStr">
        <is>
          <t>Không có trong tài liệu - phải từ chối, không bịa điều luật.</t>
        </is>
      </c>
      <c r="E18" s="6" t="n"/>
      <c r="F18" s="6" t="n"/>
      <c r="G18" s="6" t="n"/>
      <c r="H18" s="6" t="n"/>
      <c r="I18" s="6" t="inlineStr">
        <is>
          <t>Easy</t>
        </is>
      </c>
      <c r="J18" s="6" t="inlineStr">
        <is>
          <t>None</t>
        </is>
      </c>
      <c r="K18" s="6" t="inlineStr">
        <is>
          <t>No</t>
        </is>
      </c>
      <c r="L18" s="6" t="inlineStr">
        <is>
          <t>Từ chối: 'Dựa trên tài liệu được cung cấp, tôi không tìm thấy thông tin để trả lời câu hỏi này.'</t>
        </is>
      </c>
      <c r="M18" s="6" t="inlineStr">
        <is>
          <t>Off-topic</t>
        </is>
      </c>
      <c r="N18" s="6" t="n"/>
      <c r="O18" s="6" t="n"/>
      <c r="P18" s="6" t="n"/>
      <c r="Q18" s="6" t="inlineStr"/>
      <c r="R18" s="6" t="inlineStr">
        <is>
          <t>Dựa trên tài liệu được cung cấp, tôi không tìm thấy thông tin để trả lời câu hỏi này.</t>
        </is>
      </c>
      <c r="S18" s="6" t="inlineStr"/>
      <c r="T18" s="6" t="inlineStr"/>
      <c r="U18" s="6" t="inlineStr">
        <is>
          <t>(no LLM call: early exit)</t>
        </is>
      </c>
      <c r="V18" s="6" t="n">
        <v>19.2</v>
      </c>
      <c r="W18" s="7" t="n"/>
      <c r="X18" s="7" t="n">
        <v>0</v>
      </c>
      <c r="Y18" s="6" t="inlineStr">
        <is>
          <t>No</t>
        </is>
      </c>
      <c r="Z18" s="6" t="inlineStr">
        <is>
          <t>n/a</t>
        </is>
      </c>
      <c r="AA18" s="6" t="inlineStr">
        <is>
          <t>PASS</t>
        </is>
      </c>
      <c r="AB18" s="6" t="inlineStr">
        <is>
          <t>Từ chối đúng</t>
        </is>
      </c>
      <c r="AC18" s="6" t="n"/>
      <c r="AD18" s="6">
        <f>IF(AC18="",AA18,AC18)</f>
        <v/>
      </c>
      <c r="AE18" s="6" t="n"/>
      <c r="AF18" s="6" t="n"/>
    </row>
    <row r="19">
      <c r="A19" s="6" t="inlineStr">
        <is>
          <t>NEG_X_018</t>
        </is>
      </c>
      <c r="B19" s="6" t="inlineStr">
        <is>
          <t>Negative</t>
        </is>
      </c>
      <c r="C19" s="6" t="inlineStr">
        <is>
          <t>Công ty Apple trả lương cho kỹ sư phần mềm tại Việt Nam bao nhiêu một tháng?</t>
        </is>
      </c>
      <c r="D19" s="6" t="inlineStr">
        <is>
          <t>Không có trong tài liệu - phải từ chối, không bịa điều luật.</t>
        </is>
      </c>
      <c r="E19" s="6" t="n"/>
      <c r="F19" s="6" t="n"/>
      <c r="G19" s="6" t="n"/>
      <c r="H19" s="6" t="n"/>
      <c r="I19" s="6" t="inlineStr">
        <is>
          <t>Easy</t>
        </is>
      </c>
      <c r="J19" s="6" t="inlineStr">
        <is>
          <t>None</t>
        </is>
      </c>
      <c r="K19" s="6" t="inlineStr">
        <is>
          <t>No</t>
        </is>
      </c>
      <c r="L19" s="6" t="inlineStr">
        <is>
          <t>Từ chối: 'Dựa trên tài liệu được cung cấp, tôi không tìm thấy thông tin để trả lời câu hỏi này.'</t>
        </is>
      </c>
      <c r="M19" s="6" t="inlineStr">
        <is>
          <t>Not in documents</t>
        </is>
      </c>
      <c r="N19" s="6" t="n"/>
      <c r="O19" s="6" t="n"/>
      <c r="P19" s="6" t="n"/>
      <c r="Q19" s="6" t="inlineStr"/>
      <c r="R19" s="6" t="inlineStr">
        <is>
          <t>Dựa trên tài liệu được cung cấp, tôi không tìm thấy thông tin để trả lời câu hỏi này.</t>
        </is>
      </c>
      <c r="S19" s="6" t="inlineStr"/>
      <c r="T19" s="6" t="inlineStr"/>
      <c r="U19" s="6" t="inlineStr">
        <is>
          <t>(no LLM call: early exit)</t>
        </is>
      </c>
      <c r="V19" s="6" t="n">
        <v>21.8</v>
      </c>
      <c r="W19" s="7" t="n"/>
      <c r="X19" s="7" t="n">
        <v>0</v>
      </c>
      <c r="Y19" s="6" t="inlineStr">
        <is>
          <t>No</t>
        </is>
      </c>
      <c r="Z19" s="6" t="inlineStr">
        <is>
          <t>n/a</t>
        </is>
      </c>
      <c r="AA19" s="6" t="inlineStr">
        <is>
          <t>PASS</t>
        </is>
      </c>
      <c r="AB19" s="6" t="inlineStr">
        <is>
          <t>Từ chối đúng</t>
        </is>
      </c>
      <c r="AC19" s="6" t="n"/>
      <c r="AD19" s="6">
        <f>IF(AC19="",AA19,AC19)</f>
        <v/>
      </c>
      <c r="AE19" s="6" t="n"/>
      <c r="AF19" s="6" t="n"/>
    </row>
    <row r="20">
      <c r="A20" s="6" t="inlineStr">
        <is>
          <t>NEG_X_019</t>
        </is>
      </c>
      <c r="B20" s="6" t="inlineStr">
        <is>
          <t>Negative</t>
        </is>
      </c>
      <c r="C20" s="6" t="inlineStr">
        <is>
          <t>Thủ tục ly hôn đơn phương tại tòa án gồm những bước nào?</t>
        </is>
      </c>
      <c r="D20" s="6" t="inlineStr">
        <is>
          <t>Không có trong tài liệu - phải từ chối, không bịa điều luật.</t>
        </is>
      </c>
      <c r="E20" s="6" t="n"/>
      <c r="F20" s="6" t="n"/>
      <c r="G20" s="6" t="n"/>
      <c r="H20" s="6" t="n"/>
      <c r="I20" s="6" t="inlineStr">
        <is>
          <t>Easy</t>
        </is>
      </c>
      <c r="J20" s="6" t="inlineStr">
        <is>
          <t>None</t>
        </is>
      </c>
      <c r="K20" s="6" t="inlineStr">
        <is>
          <t>No</t>
        </is>
      </c>
      <c r="L20" s="6" t="inlineStr">
        <is>
          <t>Từ chối: 'Dựa trên tài liệu được cung cấp, tôi không tìm thấy thông tin để trả lời câu hỏi này.'</t>
        </is>
      </c>
      <c r="M20" s="6" t="inlineStr">
        <is>
          <t>Other law</t>
        </is>
      </c>
      <c r="N20" s="6" t="n"/>
      <c r="O20" s="6" t="n"/>
      <c r="P20" s="6" t="n"/>
      <c r="Q20" s="6" t="inlineStr"/>
      <c r="R20" s="6" t="inlineStr">
        <is>
          <t>Dựa trên tài liệu được cung cấp, tôi không tìm thấy thông tin để trả lời câu hỏi này.</t>
        </is>
      </c>
      <c r="S20" s="6" t="inlineStr"/>
      <c r="T20" s="6" t="inlineStr"/>
      <c r="U20" s="6" t="inlineStr">
        <is>
          <t>(no LLM call: early exit)</t>
        </is>
      </c>
      <c r="V20" s="6" t="n">
        <v>17.1</v>
      </c>
      <c r="W20" s="7" t="n"/>
      <c r="X20" s="7" t="n">
        <v>0</v>
      </c>
      <c r="Y20" s="6" t="inlineStr">
        <is>
          <t>No</t>
        </is>
      </c>
      <c r="Z20" s="6" t="inlineStr">
        <is>
          <t>n/a</t>
        </is>
      </c>
      <c r="AA20" s="6" t="inlineStr">
        <is>
          <t>PASS</t>
        </is>
      </c>
      <c r="AB20" s="6" t="inlineStr">
        <is>
          <t>Từ chối đúng</t>
        </is>
      </c>
      <c r="AC20" s="6" t="n"/>
      <c r="AD20" s="6">
        <f>IF(AC20="",AA20,AC20)</f>
        <v/>
      </c>
      <c r="AE20" s="6" t="n"/>
      <c r="AF20" s="6" t="n"/>
    </row>
    <row r="21">
      <c r="A21" s="6" t="inlineStr">
        <is>
          <t>NEG_X_020</t>
        </is>
      </c>
      <c r="B21" s="6" t="inlineStr">
        <is>
          <t>Negative</t>
        </is>
      </c>
      <c r="C21" s="6" t="inlineStr">
        <is>
          <t>Luật Bảo vệ môi trường quy định mức phạt xả thải vượt chuẩn là bao nhiêu?</t>
        </is>
      </c>
      <c r="D21" s="6" t="inlineStr">
        <is>
          <t>Không có trong tài liệu - phải từ chối, không bịa điều luật.</t>
        </is>
      </c>
      <c r="E21" s="6" t="n"/>
      <c r="F21" s="6" t="n"/>
      <c r="G21" s="6" t="n"/>
      <c r="H21" s="6" t="n"/>
      <c r="I21" s="6" t="inlineStr">
        <is>
          <t>Easy</t>
        </is>
      </c>
      <c r="J21" s="6" t="inlineStr">
        <is>
          <t>None</t>
        </is>
      </c>
      <c r="K21" s="6" t="inlineStr">
        <is>
          <t>No</t>
        </is>
      </c>
      <c r="L21" s="6" t="inlineStr">
        <is>
          <t>Từ chối: 'Dựa trên tài liệu được cung cấp, tôi không tìm thấy thông tin để trả lời câu hỏi này.'</t>
        </is>
      </c>
      <c r="M21" s="6" t="inlineStr">
        <is>
          <t>Other law</t>
        </is>
      </c>
      <c r="N21" s="6" t="n"/>
      <c r="O21" s="6" t="n"/>
      <c r="P21" s="6" t="n"/>
      <c r="Q21" s="6" t="inlineStr"/>
      <c r="R21" s="6" t="inlineStr">
        <is>
          <t>Dựa trên tài liệu được cung cấp, tôi không tìm thấy thông tin để trả lời câu hỏi này.</t>
        </is>
      </c>
      <c r="S21" s="6" t="inlineStr"/>
      <c r="T21" s="6" t="inlineStr"/>
      <c r="U21" s="6" t="inlineStr">
        <is>
          <t>(no LLM call: early exit)</t>
        </is>
      </c>
      <c r="V21" s="6" t="n">
        <v>20.6</v>
      </c>
      <c r="W21" s="7" t="n"/>
      <c r="X21" s="7" t="n">
        <v>0</v>
      </c>
      <c r="Y21" s="6" t="inlineStr">
        <is>
          <t>No</t>
        </is>
      </c>
      <c r="Z21" s="6" t="inlineStr">
        <is>
          <t>n/a</t>
        </is>
      </c>
      <c r="AA21" s="6" t="inlineStr">
        <is>
          <t>PASS</t>
        </is>
      </c>
      <c r="AB21" s="6" t="inlineStr">
        <is>
          <t>Từ chối đúng</t>
        </is>
      </c>
      <c r="AC21" s="6" t="n"/>
      <c r="AD21" s="6">
        <f>IF(AC21="",AA21,AC21)</f>
        <v/>
      </c>
      <c r="AE21" s="6" t="n"/>
      <c r="AF21" s="6" t="n"/>
    </row>
  </sheetData>
  <autoFilter ref="A1:AF21"/>
  <conditionalFormatting sqref="AA2:AA21">
    <cfRule type="cellIs" priority="1" operator="equal" dxfId="0">
      <formula>"PASS"</formula>
    </cfRule>
    <cfRule type="cellIs" priority="2" operator="equal" dxfId="1">
      <formula>"PARTIAL"</formula>
    </cfRule>
    <cfRule type="cellIs" priority="3" operator="equal" dxfId="2">
      <formula>"FAIL"</formula>
    </cfRule>
    <cfRule type="cellIs" priority="4" operator="equal" dxfId="3">
      <formula>"BLOCKED"</formula>
    </cfRule>
  </conditionalFormatting>
  <conditionalFormatting sqref="AC2:AC21">
    <cfRule type="cellIs" priority="5" operator="equal" dxfId="0">
      <formula>"PASS"</formula>
    </cfRule>
    <cfRule type="cellIs" priority="6" operator="equal" dxfId="1">
      <formula>"PARTIAL"</formula>
    </cfRule>
    <cfRule type="cellIs" priority="7" operator="equal" dxfId="2">
      <formula>"FAIL"</formula>
    </cfRule>
    <cfRule type="cellIs" priority="8" operator="equal" dxfId="3">
      <formula>"BLOCKED"</formula>
    </cfRule>
  </conditionalFormatting>
  <conditionalFormatting sqref="AD2:AD21">
    <cfRule type="cellIs" priority="9" operator="equal" dxfId="0">
      <formula>"PASS"</formula>
    </cfRule>
    <cfRule type="cellIs" priority="10" operator="equal" dxfId="1">
      <formula>"PARTIAL"</formula>
    </cfRule>
    <cfRule type="cellIs" priority="11" operator="equal" dxfId="2">
      <formula>"FAIL"</formula>
    </cfRule>
    <cfRule type="cellIs" priority="12" operator="equal" dxfId="3">
      <formula>"BLOCKED"</formula>
    </cfRule>
  </conditionalFormatting>
  <dataValidations count="1">
    <dataValidation sqref="AC2:AC21" showDropDown="0" showInputMessage="0" showErrorMessage="0" allowBlank="1" type="list">
      <formula1>"PASS,PARTIAL,FAIL,BLOCKED"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0" customWidth="1" min="1" max="1"/>
    <col width="12" customWidth="1" min="2" max="2"/>
    <col width="10" customWidth="1" min="3" max="3"/>
    <col width="30" customWidth="1" min="4" max="4"/>
    <col width="45" customWidth="1" min="5" max="5"/>
    <col width="45" customWidth="1" min="6" max="6"/>
    <col width="55" customWidth="1" min="7" max="7"/>
    <col width="35" customWidth="1" min="8" max="8"/>
    <col width="16" customWidth="1" min="9" max="9"/>
  </cols>
  <sheetData>
    <row r="1">
      <c r="A1" s="2" t="inlineStr">
        <is>
          <t>Defect ID</t>
        </is>
      </c>
      <c r="B1" s="2" t="inlineStr">
        <is>
          <t>Test Case</t>
        </is>
      </c>
      <c r="C1" s="2" t="inlineStr">
        <is>
          <t>Severity</t>
        </is>
      </c>
      <c r="D1" s="2" t="inlineStr">
        <is>
          <t>Title</t>
        </is>
      </c>
      <c r="E1" s="2" t="inlineStr">
        <is>
          <t>Steps to reproduce</t>
        </is>
      </c>
      <c r="F1" s="2" t="inlineStr">
        <is>
          <t>Expected</t>
        </is>
      </c>
      <c r="G1" s="2" t="inlineStr">
        <is>
          <t>Actual</t>
        </is>
      </c>
      <c r="H1" s="2" t="inlineStr">
        <is>
          <t>Auto reasons</t>
        </is>
      </c>
      <c r="I1" s="2" t="inlineStr">
        <is>
          <t>Status</t>
        </is>
      </c>
    </row>
    <row r="2">
      <c r="A2" s="6" t="inlineStr">
        <is>
          <t>D-001</t>
        </is>
      </c>
      <c r="B2" s="6" t="inlineStr">
        <is>
          <t>NEG_X_012</t>
        </is>
      </c>
      <c r="C2" s="6" t="inlineStr">
        <is>
          <t>Medium</t>
        </is>
      </c>
      <c r="D2" s="6" t="inlineStr">
        <is>
          <t>Câu trả lời sai/thiếu nội dung</t>
        </is>
      </c>
      <c r="E2" s="6" t="inlineStr">
        <is>
          <t>1. Mở RAG Lab / POST /api/rag/chat
2. Query: "Theo Bộ luật Lao động năm 2030, tuổi nghỉ hưu của lao động nam là bao nhiêu?"</t>
        </is>
      </c>
      <c r="F2" s="6" t="inlineStr">
        <is>
          <t>Không có trong tài liệu - phải từ chối, không bịa điều luật.</t>
        </is>
      </c>
      <c r="G2" s="6" t="inlineStr">
        <is>
          <t>Dựa trên lộ trình điều chỉnh tuổi nghỉ hưu đối với lao động nam trong điều kiện lao động bình thường, tuổi nghỉ hưu đạt mức 62 tuổi vào năm 2028 [SOURCE_1], [SOURCE_3]. Từ năm 2028 trở đi, tuổi nghỉ hưu của lao động nam là 62 tuổi [SOURCE_1]. Do đó, vào năm 2030, tuổi nghỉ hưu của lao động nam vẫn là **62 tuổi** [SOURCE_1].</t>
        </is>
      </c>
      <c r="H2" s="6" t="inlineStr">
        <is>
          <t>Trả lời câu hỏi không có đáp án (nguy cơ bịa)</t>
        </is>
      </c>
      <c r="I2" s="6" t="inlineStr">
        <is>
          <t>Open (candidate)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6" customWidth="1" min="1" max="1"/>
    <col width="110" customWidth="1" min="2" max="2"/>
  </cols>
  <sheetData>
    <row r="1">
      <c r="A1" s="2" t="inlineStr">
        <is>
          <t>Item</t>
        </is>
      </c>
      <c r="B1" s="2" t="inlineStr">
        <is>
          <t>Value</t>
        </is>
      </c>
    </row>
    <row r="2">
      <c r="A2" t="inlineStr">
        <is>
          <t>Report generated</t>
        </is>
      </c>
      <c r="B2" t="inlineStr">
        <is>
          <t>2026-10-21T14:14:32</t>
        </is>
      </c>
    </row>
    <row r="3">
      <c r="A3" t="inlineStr">
        <is>
          <t>Test execution</t>
        </is>
      </c>
      <c r="B3" t="inlineStr">
        <is>
          <t>2026-10-21T14:07:11 → 2026-10-21T14:14:30</t>
        </is>
      </c>
    </row>
    <row r="4">
      <c r="A4" t="inlineStr">
        <is>
          <t>Test file</t>
        </is>
      </c>
      <c r="B4" t="inlineStr">
        <is>
          <t>TC_Negative.xlsx (sha256 e8e04b26717130e8)</t>
        </is>
      </c>
    </row>
    <row r="5">
      <c r="A5" t="inlineStr">
        <is>
          <t>Test cases</t>
        </is>
      </c>
      <c r="B5" t="n">
        <v>20</v>
      </c>
    </row>
    <row r="6">
      <c r="A6" t="inlineStr">
        <is>
          <t>API</t>
        </is>
      </c>
      <c r="B6" t="inlineStr">
        <is>
          <t>http://127.0.0.1:8001</t>
        </is>
      </c>
    </row>
    <row r="7">
      <c r="A7" t="inlineStr">
        <is>
          <t>LLM provider override</t>
        </is>
      </c>
      <c r="B7" t="inlineStr">
        <is>
          <t>(server default)</t>
        </is>
      </c>
    </row>
    <row r="8">
      <c r="A8" t="inlineStr">
        <is>
          <t>LLM models used (from responses)</t>
        </is>
      </c>
      <c r="B8" t="inlineStr">
        <is>
          <t>(no LLM call: early exit): 14; gemini-3.5-flash-lite: 6</t>
        </is>
      </c>
    </row>
    <row r="9">
      <c r="A9" t="inlineStr">
        <is>
          <t>Git commit</t>
        </is>
      </c>
      <c r="B9" t="inlineStr">
        <is>
          <t>b1b412d + 30 uncommitted file(s) in src/, frontend/src, evaluation/</t>
        </is>
      </c>
    </row>
    <row r="10">
      <c r="A10" t="inlineStr">
        <is>
          <t>Indexed documents</t>
        </is>
      </c>
      <c r="B10" t="n">
        <v>5</v>
      </c>
    </row>
    <row r="11">
      <c r="A11" t="inlineStr">
        <is>
          <t>Pages / elements / chunks / vectors</t>
        </is>
      </c>
      <c r="B11" t="inlineStr">
        <is>
          <t>1428 / 21527 / 4654 / 4654</t>
        </is>
      </c>
    </row>
    <row r="12">
      <c r="A12" t="inlineStr">
        <is>
          <t>Embedding model / device</t>
        </is>
      </c>
      <c r="B12" t="inlineStr">
        <is>
          <t>BAAI/bge-m3 / cpu</t>
        </is>
      </c>
    </row>
    <row r="13">
      <c r="A13" t="inlineStr">
        <is>
          <t>config EMBEDDING_MODEL</t>
        </is>
      </c>
      <c r="B13" t="inlineStr">
        <is>
          <t>(default)</t>
        </is>
      </c>
    </row>
    <row r="14">
      <c r="A14" t="inlineStr">
        <is>
          <t>config RERANKER_MODEL</t>
        </is>
      </c>
      <c r="B14" t="inlineStr">
        <is>
          <t>(default)</t>
        </is>
      </c>
    </row>
    <row r="15">
      <c r="A15" t="inlineStr">
        <is>
          <t>config RETRIEVAL_TOP_K</t>
        </is>
      </c>
      <c r="B15" t="inlineStr">
        <is>
          <t>10</t>
        </is>
      </c>
    </row>
    <row r="16">
      <c r="A16" t="inlineStr">
        <is>
          <t>config RERANK_TOP_N</t>
        </is>
      </c>
      <c r="B16" t="inlineStr">
        <is>
          <t>(default)</t>
        </is>
      </c>
    </row>
    <row r="17">
      <c r="A17" t="inlineStr">
        <is>
          <t>config RERANK_THRESHOLD</t>
        </is>
      </c>
      <c r="B17" t="inlineStr">
        <is>
          <t>(default)</t>
        </is>
      </c>
    </row>
    <row r="18">
      <c r="A18" t="inlineStr">
        <is>
          <t>config MAX_CONTEXT_TOKENS</t>
        </is>
      </c>
      <c r="B18" t="inlineStr">
        <is>
          <t>(default)</t>
        </is>
      </c>
    </row>
    <row r="19">
      <c r="A19" t="inlineStr">
        <is>
          <t>config LLM_PROVIDER</t>
        </is>
      </c>
      <c r="B19" t="inlineStr">
        <is>
          <t>gemini</t>
        </is>
      </c>
    </row>
    <row r="20">
      <c r="A20" t="inlineStr">
        <is>
          <t>config LLM_MODEL</t>
        </is>
      </c>
      <c r="B20" t="inlineStr">
        <is>
          <t>gemini-3.6-flash</t>
        </is>
      </c>
    </row>
    <row r="21">
      <c r="A21" t="inlineStr">
        <is>
          <t>config GEMINI_MODEL</t>
        </is>
      </c>
      <c r="B21" t="inlineStr">
        <is>
          <t>gemini-3.5-flash-lite</t>
        </is>
      </c>
    </row>
    <row r="22">
      <c r="A22" t="inlineStr">
        <is>
          <t>config OPENAI_MODEL</t>
        </is>
      </c>
      <c r="B22" t="inlineStr">
        <is>
          <t>(default)</t>
        </is>
      </c>
    </row>
    <row r="23">
      <c r="A23" t="inlineStr">
        <is>
          <t>config OLLAMA_MODEL</t>
        </is>
      </c>
      <c r="B23" t="inlineStr">
        <is>
          <t>(default)</t>
        </is>
      </c>
    </row>
    <row r="24">
      <c r="A24" t="inlineStr">
        <is>
          <t>config PREFERRED_SOURCES</t>
        </is>
      </c>
      <c r="B24" t="inlineStr">
        <is>
          <t>Văn-bản-hợp-nhất-18-VBHN-VPQH.pdf</t>
        </is>
      </c>
    </row>
    <row r="25">
      <c r="A25" t="inlineStr">
        <is>
          <t>config TORCH_DEVICE</t>
        </is>
      </c>
      <c r="B25" t="inlineStr">
        <is>
          <t>(default)</t>
        </is>
      </c>
    </row>
    <row r="26">
      <c r="A26" t="inlineStr">
        <is>
          <t>Group → document</t>
        </is>
      </c>
      <c r="B26" t="inlineStr">
        <is>
          <t>A: giao trinh Luat lao dong CB 2005 (1).pdf; B: so-tay-kien-thuc-phap-luat-lao-dong-cdi.pdf; C: luu-ban-nhap-tu-dong-3-4.pdf; D: ILO-VCCI_Labour-Law-Guide-Book-V04-Final.pdf; E: Văn-bản-hợp-nhất-18-VBHN-VPQH.pdf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2026-10-21T07:14:32Z</dcterms:created>
  <dcterms:modified xmlns:dcterms="http://purl.org/dc/terms/" xmlns:xsi="http://www.w3.org/2001/XMLSchema-instance" xsi:type="dcterms:W3CDTF">2026-10-21T07:14:32Z</dcterms:modified>
</cp:coreProperties>
</file>