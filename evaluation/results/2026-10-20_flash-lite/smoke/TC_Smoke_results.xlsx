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Defects" sheetId="3" state="visible" r:id="rId3"/>
    <sheet xmlns:r="http://schemas.openxmlformats.org/officeDocument/2006/relationships" name="Environment" sheetId="4" state="visible" r:id="rId4"/>
  </sheets>
  <definedNames>
    <definedName name="_xlnm._FilterDatabase" localSheetId="1" hidden="1">'Results'!$A$1:$AF$11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1" fillId="2" borderId="0" applyAlignment="1" pivotButton="0" quotePrefix="0" xfId="0">
      <alignment vertical="center" wrapText="1"/>
    </xf>
    <xf numFmtId="164" fontId="0" fillId="0" borderId="0" pivotButton="0" quotePrefix="0" xfId="0"/>
    <xf numFmtId="0" fontId="3" fillId="0" borderId="0" pivotButton="0" quotePrefix="0" xfId="0"/>
    <xf numFmtId="9" fontId="0" fillId="0" borderId="0" pivotButton="0" quotePrefix="0" xfId="0"/>
    <xf numFmtId="0" fontId="0" fillId="0" borderId="0" applyAlignment="1" pivotButton="0" quotePrefix="0" xfId="0">
      <alignment vertical="top" wrapText="1"/>
    </xf>
    <xf numFmtId="9" fontId="0"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8"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TC_LuatLD — Test Summary</t>
        </is>
      </c>
    </row>
    <row r="2">
      <c r="A2" t="inlineStr">
        <is>
          <t>Effective Status = Final Status (tester) nếu đã điền, nếu không = Suggested Status (tự động).</t>
        </is>
      </c>
    </row>
    <row r="4">
      <c r="A4" s="2" t="inlineStr">
        <is>
          <t>Status</t>
        </is>
      </c>
      <c r="B4" s="2" t="inlineStr">
        <is>
          <t>Count</t>
        </is>
      </c>
      <c r="C4" s="2" t="inlineStr">
        <is>
          <t>Rate</t>
        </is>
      </c>
    </row>
    <row r="5">
      <c r="A5" t="inlineStr">
        <is>
          <t>PASS</t>
        </is>
      </c>
      <c r="B5">
        <f>COUNTIF(Results!$AD$2:$AD$11,"PASS")</f>
        <v/>
      </c>
      <c r="C5" s="3">
        <f>B5/10</f>
        <v/>
      </c>
    </row>
    <row r="6">
      <c r="A6" t="inlineStr">
        <is>
          <t>PARTIAL</t>
        </is>
      </c>
      <c r="B6">
        <f>COUNTIF(Results!$AD$2:$AD$11,"PARTIAL")</f>
        <v/>
      </c>
      <c r="C6" s="3">
        <f>B6/10</f>
        <v/>
      </c>
    </row>
    <row r="7">
      <c r="A7" t="inlineStr">
        <is>
          <t>FAIL</t>
        </is>
      </c>
      <c r="B7">
        <f>COUNTIF(Results!$AD$2:$AD$11,"FAIL")</f>
        <v/>
      </c>
      <c r="C7" s="3">
        <f>B7/10</f>
        <v/>
      </c>
    </row>
    <row r="8">
      <c r="A8" t="inlineStr">
        <is>
          <t>BLOCKED</t>
        </is>
      </c>
      <c r="B8">
        <f>COUNTIF(Results!$AD$2:$AD$11,"BLOCKED")</f>
        <v/>
      </c>
      <c r="C8" s="3">
        <f>B8/10</f>
        <v/>
      </c>
    </row>
    <row r="9">
      <c r="A9" t="inlineStr">
        <is>
          <t>Total</t>
        </is>
      </c>
      <c r="B9">
        <f>SUM(B5:B8)</f>
        <v/>
      </c>
    </row>
    <row r="10">
      <c r="A10" t="inlineStr">
        <is>
          <t>Reviewed by tester</t>
        </is>
      </c>
      <c r="B10">
        <f>COUNTA(Results!AC2:AC11)</f>
        <v/>
      </c>
    </row>
    <row r="11">
      <c r="A11" t="inlineStr">
        <is>
          <t>Median latency (s)</t>
        </is>
      </c>
      <c r="B11" t="n">
        <v>23.3</v>
      </c>
    </row>
    <row r="13">
      <c r="A13" s="4" t="inlineStr">
        <is>
          <t>Theo tài liệu</t>
        </is>
      </c>
    </row>
    <row r="14">
      <c r="A14" s="2" t="inlineStr">
        <is>
          <t>Document</t>
        </is>
      </c>
      <c r="B14" s="2" t="inlineStr">
        <is>
          <t>Total</t>
        </is>
      </c>
      <c r="C14" s="2" t="inlineStr">
        <is>
          <t>PASS</t>
        </is>
      </c>
      <c r="D14" s="2" t="inlineStr">
        <is>
          <t>PARTIAL</t>
        </is>
      </c>
      <c r="E14" s="2" t="inlineStr">
        <is>
          <t>FAIL</t>
        </is>
      </c>
      <c r="F14" s="2" t="inlineStr">
        <is>
          <t>BLOCKED</t>
        </is>
      </c>
      <c r="G14" s="2" t="inlineStr">
        <is>
          <t>Pass rate</t>
        </is>
      </c>
    </row>
    <row r="15">
      <c r="A15" t="inlineStr">
        <is>
          <t>giao trinh Luat lao dong CB 2005 (1)</t>
        </is>
      </c>
      <c r="B15">
        <f>COUNTIF(Results!$Q$2:$Q$11,A15)</f>
        <v/>
      </c>
      <c r="C15">
        <f>COUNTIFS(Results!$Q$2:$Q$11,A15,Results!$AD$2:$AD$11,"PASS")</f>
        <v/>
      </c>
      <c r="D15">
        <f>COUNTIFS(Results!$Q$2:$Q$11,A15,Results!$AD$2:$AD$11,"PARTIAL")</f>
        <v/>
      </c>
      <c r="E15">
        <f>COUNTIFS(Results!$Q$2:$Q$11,A15,Results!$AD$2:$AD$11,"FAIL")</f>
        <v/>
      </c>
      <c r="F15">
        <f>COUNTIFS(Results!$Q$2:$Q$11,A15,Results!$AD$2:$AD$11,"BLOCKED")</f>
        <v/>
      </c>
      <c r="G15">
        <f>IF(B15=0,0,C15/B15)</f>
        <v/>
      </c>
      <c r="H15" s="5" t="n"/>
    </row>
    <row r="16">
      <c r="A16" t="inlineStr">
        <is>
          <t>so-tay-kien-thuc-phap-luat-lao-dong-cdi</t>
        </is>
      </c>
      <c r="B16">
        <f>COUNTIF(Results!$Q$2:$Q$11,A16)</f>
        <v/>
      </c>
      <c r="C16">
        <f>COUNTIFS(Results!$Q$2:$Q$11,A16,Results!$AD$2:$AD$11,"PASS")</f>
        <v/>
      </c>
      <c r="D16">
        <f>COUNTIFS(Results!$Q$2:$Q$11,A16,Results!$AD$2:$AD$11,"PARTIAL")</f>
        <v/>
      </c>
      <c r="E16">
        <f>COUNTIFS(Results!$Q$2:$Q$11,A16,Results!$AD$2:$AD$11,"FAIL")</f>
        <v/>
      </c>
      <c r="F16">
        <f>COUNTIFS(Results!$Q$2:$Q$11,A16,Results!$AD$2:$AD$11,"BLOCKED")</f>
        <v/>
      </c>
      <c r="G16">
        <f>IF(B16=0,0,C16/B16)</f>
        <v/>
      </c>
      <c r="H16" s="5" t="n"/>
    </row>
    <row r="17">
      <c r="A17" t="inlineStr">
        <is>
          <t>luu-ban-nhap-tu-dong-3-4</t>
        </is>
      </c>
      <c r="B17">
        <f>COUNTIF(Results!$Q$2:$Q$11,A17)</f>
        <v/>
      </c>
      <c r="C17">
        <f>COUNTIFS(Results!$Q$2:$Q$11,A17,Results!$AD$2:$AD$11,"PASS")</f>
        <v/>
      </c>
      <c r="D17">
        <f>COUNTIFS(Results!$Q$2:$Q$11,A17,Results!$AD$2:$AD$11,"PARTIAL")</f>
        <v/>
      </c>
      <c r="E17">
        <f>COUNTIFS(Results!$Q$2:$Q$11,A17,Results!$AD$2:$AD$11,"FAIL")</f>
        <v/>
      </c>
      <c r="F17">
        <f>COUNTIFS(Results!$Q$2:$Q$11,A17,Results!$AD$2:$AD$11,"BLOCKED")</f>
        <v/>
      </c>
      <c r="G17">
        <f>IF(B17=0,0,C17/B17)</f>
        <v/>
      </c>
      <c r="H17" s="5" t="n"/>
    </row>
    <row r="18">
      <c r="A18" t="inlineStr">
        <is>
          <t>ILO-VCCI_Labour-Law-Guide-Book-V04-Final</t>
        </is>
      </c>
      <c r="B18">
        <f>COUNTIF(Results!$Q$2:$Q$11,A18)</f>
        <v/>
      </c>
      <c r="C18">
        <f>COUNTIFS(Results!$Q$2:$Q$11,A18,Results!$AD$2:$AD$11,"PASS")</f>
        <v/>
      </c>
      <c r="D18">
        <f>COUNTIFS(Results!$Q$2:$Q$11,A18,Results!$AD$2:$AD$11,"PARTIAL")</f>
        <v/>
      </c>
      <c r="E18">
        <f>COUNTIFS(Results!$Q$2:$Q$11,A18,Results!$AD$2:$AD$11,"FAIL")</f>
        <v/>
      </c>
      <c r="F18">
        <f>COUNTIFS(Results!$Q$2:$Q$11,A18,Results!$AD$2:$AD$11,"BLOCKED")</f>
        <v/>
      </c>
      <c r="G18">
        <f>IF(B18=0,0,C18/B18)</f>
        <v/>
      </c>
      <c r="H18" s="5" t="n"/>
    </row>
    <row r="19">
      <c r="A19" t="inlineStr">
        <is>
          <t>Văn-bản-hợp-nhất-18-VBHN-VPQH</t>
        </is>
      </c>
      <c r="B19">
        <f>COUNTIF(Results!$Q$2:$Q$11,A19)</f>
        <v/>
      </c>
      <c r="C19">
        <f>COUNTIFS(Results!$Q$2:$Q$11,A19,Results!$AD$2:$AD$11,"PASS")</f>
        <v/>
      </c>
      <c r="D19">
        <f>COUNTIFS(Results!$Q$2:$Q$11,A19,Results!$AD$2:$AD$11,"PARTIAL")</f>
        <v/>
      </c>
      <c r="E19">
        <f>COUNTIFS(Results!$Q$2:$Q$11,A19,Results!$AD$2:$AD$11,"FAIL")</f>
        <v/>
      </c>
      <c r="F19">
        <f>COUNTIFS(Results!$Q$2:$Q$11,A19,Results!$AD$2:$AD$11,"BLOCKED")</f>
        <v/>
      </c>
      <c r="G19">
        <f>IF(B19=0,0,C19/B19)</f>
        <v/>
      </c>
      <c r="H19" s="5" t="n"/>
    </row>
    <row r="21">
      <c r="A21" s="4" t="inlineStr">
        <is>
          <t>Theo độ khó</t>
        </is>
      </c>
    </row>
    <row r="22">
      <c r="A22" s="2" t="inlineStr">
        <is>
          <t>Retrieval Difficulty</t>
        </is>
      </c>
      <c r="B22" s="2" t="inlineStr">
        <is>
          <t>Total</t>
        </is>
      </c>
      <c r="C22" s="2" t="inlineStr">
        <is>
          <t>PASS</t>
        </is>
      </c>
      <c r="D22" s="2" t="inlineStr">
        <is>
          <t>PARTIAL</t>
        </is>
      </c>
      <c r="E22" s="2" t="inlineStr">
        <is>
          <t>FAIL</t>
        </is>
      </c>
      <c r="F22" s="2" t="inlineStr">
        <is>
          <t>BLOCKED</t>
        </is>
      </c>
      <c r="G22" s="2" t="inlineStr">
        <is>
          <t>Pass rate</t>
        </is>
      </c>
      <c r="H22" s="2" t="n"/>
    </row>
    <row r="23">
      <c r="A23" t="inlineStr">
        <is>
          <t>Easy</t>
        </is>
      </c>
      <c r="B23">
        <f>COUNTIF(Results!$I$2:$I$11,A23)</f>
        <v/>
      </c>
      <c r="C23">
        <f>COUNTIFS(Results!$I$2:$I$11,A23,Results!$AD$2:$AD$11,"PASS")</f>
        <v/>
      </c>
      <c r="D23">
        <f>COUNTIFS(Results!$I$2:$I$11,A23,Results!$AD$2:$AD$11,"PARTIAL")</f>
        <v/>
      </c>
      <c r="E23">
        <f>COUNTIFS(Results!$I$2:$I$11,A23,Results!$AD$2:$AD$11,"FAIL")</f>
        <v/>
      </c>
      <c r="F23">
        <f>COUNTIFS(Results!$I$2:$I$11,A23,Results!$AD$2:$AD$11,"BLOCKED")</f>
        <v/>
      </c>
      <c r="G23">
        <f>IF(B23=0,0,C23/B23)</f>
        <v/>
      </c>
      <c r="H23" s="5" t="n"/>
    </row>
    <row r="25">
      <c r="A25" s="4" t="inlineStr">
        <is>
          <t>Theo loại câu hỏi</t>
        </is>
      </c>
    </row>
    <row r="26">
      <c r="A26" s="2" t="inlineStr">
        <is>
          <t>Category</t>
        </is>
      </c>
      <c r="B26" s="2" t="inlineStr">
        <is>
          <t>Total</t>
        </is>
      </c>
      <c r="C26" s="2" t="inlineStr">
        <is>
          <t>PASS</t>
        </is>
      </c>
      <c r="D26" s="2" t="inlineStr">
        <is>
          <t>PARTIAL</t>
        </is>
      </c>
      <c r="E26" s="2" t="inlineStr">
        <is>
          <t>FAIL</t>
        </is>
      </c>
      <c r="F26" s="2" t="inlineStr">
        <is>
          <t>BLOCKED</t>
        </is>
      </c>
      <c r="G26" s="2" t="inlineStr">
        <is>
          <t>Pass rate</t>
        </is>
      </c>
      <c r="H26" s="2" t="n"/>
    </row>
    <row r="27">
      <c r="A27" t="inlineStr">
        <is>
          <t>Definition</t>
        </is>
      </c>
      <c r="B27">
        <f>COUNTIF(Results!$B$2:$B$11,A27)</f>
        <v/>
      </c>
      <c r="C27">
        <f>COUNTIFS(Results!$B$2:$B$11,A27,Results!$AD$2:$AD$11,"PASS")</f>
        <v/>
      </c>
      <c r="D27">
        <f>COUNTIFS(Results!$B$2:$B$11,A27,Results!$AD$2:$AD$11,"PARTIAL")</f>
        <v/>
      </c>
      <c r="E27">
        <f>COUNTIFS(Results!$B$2:$B$11,A27,Results!$AD$2:$AD$11,"FAIL")</f>
        <v/>
      </c>
      <c r="F27">
        <f>COUNTIFS(Results!$B$2:$B$11,A27,Results!$AD$2:$AD$11,"BLOCKED")</f>
        <v/>
      </c>
      <c r="G27">
        <f>IF(B27=0,0,C27/B27)</f>
        <v/>
      </c>
      <c r="H27" s="5" t="n"/>
    </row>
    <row r="28">
      <c r="A28" t="inlineStr">
        <is>
          <t>Direct Fact</t>
        </is>
      </c>
      <c r="B28">
        <f>COUNTIF(Results!$B$2:$B$11,A28)</f>
        <v/>
      </c>
      <c r="C28">
        <f>COUNTIFS(Results!$B$2:$B$11,A28,Results!$AD$2:$AD$11,"PASS")</f>
        <v/>
      </c>
      <c r="D28">
        <f>COUNTIFS(Results!$B$2:$B$11,A28,Results!$AD$2:$AD$11,"PARTIAL")</f>
        <v/>
      </c>
      <c r="E28">
        <f>COUNTIFS(Results!$B$2:$B$11,A28,Results!$AD$2:$AD$11,"FAIL")</f>
        <v/>
      </c>
      <c r="F28">
        <f>COUNTIFS(Results!$B$2:$B$11,A28,Results!$AD$2:$AD$11,"BLOCKED")</f>
        <v/>
      </c>
      <c r="G28">
        <f>IF(B28=0,0,C28/B28)</f>
        <v/>
      </c>
      <c r="H28" s="5" t="n"/>
    </row>
    <row r="29">
      <c r="A29" t="inlineStr">
        <is>
          <t>List</t>
        </is>
      </c>
      <c r="B29">
        <f>COUNTIF(Results!$B$2:$B$11,A29)</f>
        <v/>
      </c>
      <c r="C29">
        <f>COUNTIFS(Results!$B$2:$B$11,A29,Results!$AD$2:$AD$11,"PASS")</f>
        <v/>
      </c>
      <c r="D29">
        <f>COUNTIFS(Results!$B$2:$B$11,A29,Results!$AD$2:$AD$11,"PARTIAL")</f>
        <v/>
      </c>
      <c r="E29">
        <f>COUNTIFS(Results!$B$2:$B$11,A29,Results!$AD$2:$AD$11,"FAIL")</f>
        <v/>
      </c>
      <c r="F29">
        <f>COUNTIFS(Results!$B$2:$B$11,A29,Results!$AD$2:$AD$11,"BLOCKED")</f>
        <v/>
      </c>
      <c r="G29">
        <f>IF(B29=0,0,C29/B29)</f>
        <v/>
      </c>
      <c r="H29"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5" customWidth="1" min="3" max="3"/>
    <col width="45" customWidth="1" min="4" max="4"/>
    <col width="35" customWidth="1" min="5" max="5"/>
    <col width="14" customWidth="1" min="6" max="6"/>
    <col width="14" customWidth="1" min="7" max="7"/>
    <col width="25"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60" customWidth="1" min="18" max="18"/>
    <col width="45" customWidth="1" min="19" max="19"/>
    <col width="45"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35" customWidth="1" min="28" max="28"/>
    <col width="14" customWidth="1" min="29" max="29"/>
    <col width="14" customWidth="1" min="30" max="30"/>
    <col width="14" customWidth="1" min="31" max="31"/>
    <col width="30" customWidth="1" min="32" max="32"/>
  </cols>
  <sheetData>
    <row r="1">
      <c r="A1" s="2" t="inlineStr">
        <is>
          <t>Test Case ID</t>
        </is>
      </c>
      <c r="B1" s="2" t="inlineStr">
        <is>
          <t>Category</t>
        </is>
      </c>
      <c r="C1" s="2" t="inlineStr">
        <is>
          <t>Query</t>
        </is>
      </c>
      <c r="D1" s="2" t="inlineStr">
        <is>
          <t>Expected Answer</t>
        </is>
      </c>
      <c r="E1" s="2" t="inlineStr">
        <is>
          <t>Evidence</t>
        </is>
      </c>
      <c r="F1" s="2" t="inlineStr">
        <is>
          <t>Source Page</t>
        </is>
      </c>
      <c r="G1" s="2" t="inlineStr">
        <is>
          <t>Source Section</t>
        </is>
      </c>
      <c r="H1" s="2" t="inlineStr">
        <is>
          <t>Required Keywords / Key Concepts</t>
        </is>
      </c>
      <c r="I1" s="2" t="inlineStr">
        <is>
          <t>Retrieval Difficulty</t>
        </is>
      </c>
      <c r="J1" s="2" t="inlineStr">
        <is>
          <t>Expected Retrieval Type</t>
        </is>
      </c>
      <c r="K1" s="2" t="inlineStr">
        <is>
          <t>Is Answerable</t>
        </is>
      </c>
      <c r="L1" s="2" t="inlineStr">
        <is>
          <t>Expected Behavior</t>
        </is>
      </c>
      <c r="M1" s="2" t="inlineStr">
        <is>
          <t>Notes</t>
        </is>
      </c>
      <c r="N1" s="2" t="inlineStr">
        <is>
          <t>Forbidden Keywords</t>
        </is>
      </c>
      <c r="O1" s="2" t="inlineStr">
        <is>
          <t>Reviewed By</t>
        </is>
      </c>
      <c r="P1" s="2" t="inlineStr">
        <is>
          <t>Reviewed Date</t>
        </is>
      </c>
      <c r="Q1" s="2" t="inlineStr">
        <is>
          <t>Document</t>
        </is>
      </c>
      <c r="R1" s="2" t="inlineStr">
        <is>
          <t>Actual Answer</t>
        </is>
      </c>
      <c r="S1" s="2" t="inlineStr">
        <is>
          <t>Cited Sources</t>
        </is>
      </c>
      <c r="T1" s="2" t="inlineStr">
        <is>
          <t>Context Sources</t>
        </is>
      </c>
      <c r="U1" s="2" t="inlineStr">
        <is>
          <t>LLM Model</t>
        </is>
      </c>
      <c r="V1" s="2" t="inlineStr">
        <is>
          <t>Latency (s)</t>
        </is>
      </c>
      <c r="W1" s="2" t="inlineStr">
        <is>
          <t>Keyword Coverage</t>
        </is>
      </c>
      <c r="X1" s="2" t="inlineStr">
        <is>
          <t>Expected-Answer Recall</t>
        </is>
      </c>
      <c r="Y1" s="2" t="inlineStr">
        <is>
          <t>Cited Expected Doc</t>
        </is>
      </c>
      <c r="Z1" s="2" t="inlineStr">
        <is>
          <t>Page Match</t>
        </is>
      </c>
      <c r="AA1" s="2" t="inlineStr">
        <is>
          <t>Suggested Status</t>
        </is>
      </c>
      <c r="AB1" s="2" t="inlineStr">
        <is>
          <t>Auto Reasons</t>
        </is>
      </c>
      <c r="AC1" s="2" t="inlineStr">
        <is>
          <t>Final Status</t>
        </is>
      </c>
      <c r="AD1" s="2" t="inlineStr">
        <is>
          <t>Effective Status</t>
        </is>
      </c>
      <c r="AE1" s="2" t="inlineStr">
        <is>
          <t>Defect ID</t>
        </is>
      </c>
      <c r="AF1" s="2" t="inlineStr">
        <is>
          <t>Tester Note</t>
        </is>
      </c>
    </row>
    <row r="2">
      <c r="A2" s="6" t="inlineStr">
        <is>
          <t>SMK_A_001</t>
        </is>
      </c>
      <c r="B2" s="6" t="inlineStr">
        <is>
          <t>Definition</t>
        </is>
      </c>
      <c r="C2" s="6" t="inlineStr">
        <is>
          <t>Theo giáo trình, đối tượng điều chỉnh của Luật lao động gồm những nhóm quan hệ nào?</t>
        </is>
      </c>
      <c r="D2" s="6" t="inlineStr">
        <is>
          <t>Gồm quan hệ lao động và các quan hệ liên quan chặt chẽ hoặc phát sinh từ quan hệ lao động.</t>
        </is>
      </c>
      <c r="E2" s="6" t="inlineStr">
        <is>
          <t>Căn cứ: phần “Bài 1 - Đối tượng điều chỉnh”, trang 3. 
Nội dung được tài liệu xác nhận: Gồm quan hệ lao động và các quan hệ liên quan chặt chẽ hoặc phát sinh từ quan hệ lao động.</t>
        </is>
      </c>
      <c r="F2" s="6" t="n">
        <v>3</v>
      </c>
      <c r="G2" s="6" t="inlineStr">
        <is>
          <t>Bài 1 - Đối tượng điều chỉnh</t>
        </is>
      </c>
      <c r="H2" s="6" t="inlineStr">
        <is>
          <t>quan hệ lao động | quan hệ liên quan</t>
        </is>
      </c>
      <c r="I2" s="6" t="inlineStr">
        <is>
          <t>Easy</t>
        </is>
      </c>
      <c r="J2" s="6" t="inlineStr">
        <is>
          <t>Single Chunk</t>
        </is>
      </c>
      <c r="K2" s="6" t="inlineStr">
        <is>
          <t>Yes</t>
        </is>
      </c>
      <c r="L2" s="6" t="inlineStr">
        <is>
          <t>Answer from document</t>
        </is>
      </c>
      <c r="M2" s="6" t="n"/>
      <c r="N2" s="6" t="n"/>
      <c r="O2" s="6" t="n"/>
      <c r="P2" s="6" t="n"/>
      <c r="Q2" s="6" t="inlineStr">
        <is>
          <t>giao trinh Luat lao dong CB 2005 (1)</t>
        </is>
      </c>
      <c r="R2" s="6" t="inlineStr">
        <is>
          <t>Theo giáo trình, đối tượng điều chỉnh của Luật lao động bao gồm hai nhóm quan hệ xã hội [SOURCE_1]:
1. Quan hệ lao động [SOURCE_1].
2. Các quan hệ liên quan đến quan hệ lao động (phát sinh trong quá trình sử dụng lao động) [SOURCE_1].</t>
        </is>
      </c>
      <c r="S2" s="6" t="inlineStr">
        <is>
          <t>[SOURCE_1] giao trinh Luat lao dong CB 2005 (1) | tr.3 | BÀI 1 &gt; KHÁI NIỆM LUẬT LAO ĐỘNG VIỆT NAM &gt; I - ĐỐI TƯỢNG VÀ  | 0.9984</t>
        </is>
      </c>
      <c r="T2" s="6" t="inlineStr">
        <is>
          <t>[SOURCE_1] giao trinh Luat lao dong CB 2005 (1) | tr.3 | BÀI 1 &gt; KHÁI NIỆM LUẬT LAO ĐỘNG VIỆT NAM &gt; I - ĐỐI TƯỢNG VÀ  | 0.9984
[SOURCE_2] giao trinh Luat lao dong CB 2005 (1) | tr.7 | 2 - Phương pháp điều chỉnh của luật lao động | 0.9587
[SOURCE_3] giao trinh Luat lao dong CB 2005 (1) | tr.7 | (7) - Quan hệ về quản lý lao động | 0.9279
[SOURCE_4] giao trinh Luat lao dong CB 2005 (1) | tr.3 | a - Quan hệ lao động | 0.8305
[SOURCE_5] giao trinh Luat lao dong CB 2005 (1) | tr.6 | (4) Quan hệ về bảo hiểm xã hội | 0.8054</t>
        </is>
      </c>
      <c r="U2" s="6" t="inlineStr">
        <is>
          <t>gemini-3.5-flash-lite</t>
        </is>
      </c>
      <c r="V2" s="6" t="n">
        <v>34.4</v>
      </c>
      <c r="W2" s="7" t="n">
        <v>1</v>
      </c>
      <c r="X2" s="7" t="n">
        <v>0.875</v>
      </c>
      <c r="Y2" s="6" t="inlineStr">
        <is>
          <t>Yes</t>
        </is>
      </c>
      <c r="Z2" s="6" t="inlineStr">
        <is>
          <t>Yes</t>
        </is>
      </c>
      <c r="AA2" s="6" t="inlineStr">
        <is>
          <t>PASS</t>
        </is>
      </c>
      <c r="AB2" s="6" t="inlineStr"/>
      <c r="AC2" s="6" t="n"/>
      <c r="AD2" s="6">
        <f>IF(AC2="",AA2,AC2)</f>
        <v/>
      </c>
      <c r="AE2" s="6" t="n"/>
      <c r="AF2" s="6" t="n"/>
    </row>
    <row r="3">
      <c r="A3" s="6" t="inlineStr">
        <is>
          <t>SMK_A_002</t>
        </is>
      </c>
      <c r="B3" s="6" t="inlineStr">
        <is>
          <t>Definition</t>
        </is>
      </c>
      <c r="C3" s="6" t="inlineStr">
        <is>
          <t>Quan hệ lao động được giáo trình mô tả là gì?</t>
        </is>
      </c>
      <c r="D3" s="6" t="inlineStr">
        <is>
          <t>Là quan hệ giữa con người với con người trong lao động nhằm tạo ra các giá trị vật chất, tinh thần phục vụ bản thân và xã hội.</t>
        </is>
      </c>
      <c r="E3" s="6" t="inlineStr">
        <is>
          <t>Căn cứ: phần “Bài 1 - Quan hệ lao động”, trang 3. 
Nội dung được tài liệu xác nhận: Là quan hệ giữa con người với con người trong lao động nhằm tạo ra các giá trị vật chất, tinh thần phục vụ bản thân và xã hội.</t>
        </is>
      </c>
      <c r="F3" s="6" t="n">
        <v>3</v>
      </c>
      <c r="G3" s="6" t="inlineStr">
        <is>
          <t>Bài 1 - Quan hệ lao động</t>
        </is>
      </c>
      <c r="H3" s="6" t="inlineStr">
        <is>
          <t>lao động | giá trị vật chất | tinh thần</t>
        </is>
      </c>
      <c r="I3" s="6" t="inlineStr">
        <is>
          <t>Easy</t>
        </is>
      </c>
      <c r="J3" s="6" t="inlineStr">
        <is>
          <t>Single Chunk</t>
        </is>
      </c>
      <c r="K3" s="6" t="inlineStr">
        <is>
          <t>Yes</t>
        </is>
      </c>
      <c r="L3" s="6" t="inlineStr">
        <is>
          <t>Answer from document</t>
        </is>
      </c>
      <c r="M3" s="6" t="n"/>
      <c r="N3" s="6" t="n"/>
      <c r="O3" s="6" t="n"/>
      <c r="P3" s="6" t="n"/>
      <c r="Q3" s="6" t="inlineStr">
        <is>
          <t>giao trinh Luat lao dong CB 2005 (1)</t>
        </is>
      </c>
      <c r="R3" s="6" t="inlineStr">
        <is>
          <t>Dựa trên tài liệu được cung cấp, quan hệ lao động được mô tả qua các khía cạnh sau:
* Quan hệ giữa con người với con người trong lao động nhằm tạo ra những giá trị vật chất, tinh thần phục vụ chính bản thân và xã hội được gọi là quan hệ lao động [SOURCE_3]. Quan hệ này là biểu hiện một mặt của quan hệ sản xuất và chịu sự chi phối của quan hệ sở hữu [SOURCE_3].
* Quan hệ lao động vừa có tính kinh tế, vừa có tính xã hội [SOURCE_1].
* Ở đâu có tổ chức lao động, có hợp tác và phân công lao động thì ở đó tồn tại quan hệ lao động [SOURCE_3]. Trong nền kinh tế thị trường với sự tham gia của nhiều thành phần kinh tế, các quan hệ lao động ngày càng trở nên đa dạng, phức tạp và đan xen lẫn nhau [SOURCE_3].
* Theo quy định pháp luật, quan hệ lao động là quan hệ xã hội phát sinh trong việc thuê mướn, sử dụng lao động, trả lương giữa người lao động và người sử dụng lao động [SOURCE_4]. Quan hệ này được xác lập qua đối thoại, thương lượng, thỏa thuận theo nguyên tắc tự nguyện, thiện chí, bình đẳng, hợp tác, tôn trọng quyền và lợi ích hợp pháp của nhau [SOURCE_5].</t>
        </is>
      </c>
      <c r="S3" s="6" t="inlineStr">
        <is>
          <t>[SOURCE_1] giao trinh Luat lao dong CB 2005 (1) | tr.13 | Giáo trình Luật Lao động cơ bản | 0.9737
[SOURCE_3] giao trinh Luat lao dong CB 2005 (1) | tr.3 | a - Quan hệ lao động | 0.8496
[SOURCE_4] luu-ban-nhap-tu-dong-3-4 | tr.69 | Điều 3. Giải thích từ ngữ ữ | 0.8055
[SOURCE_5] luu-ban-nhap-tu-dong-3-4 | tr.72 | Điều 7. Quan hệ lao động | 0.7175</t>
        </is>
      </c>
      <c r="T3" s="6" t="inlineStr">
        <is>
          <t>[SOURCE_1] giao trinh Luat lao dong CB 2005 (1) | tr.13 | Giáo trình Luật Lao động cơ bản | 0.9737
[SOURCE_2] giao trinh Luat lao dong CB 2005 (1) | tr.3 | a - Quan hệ lao động | 0.8655
[SOURCE_3] giao trinh Luat lao dong CB 2005 (1) | tr.3 | a - Quan hệ lao động | 0.8496
[SOURCE_4] luu-ban-nhap-tu-dong-3-4 | tr.69 | Điều 3. Giải thích từ ngữ ữ | 0.8055
[SOURCE_5] luu-ban-nhap-tu-dong-3-4 | tr.72 | Điều 7. Quan hệ lao động | 0.7175</t>
        </is>
      </c>
      <c r="U3" s="6" t="inlineStr">
        <is>
          <t>gemini-3.5-flash-lite</t>
        </is>
      </c>
      <c r="V3" s="6" t="n">
        <v>32.5</v>
      </c>
      <c r="W3" s="7" t="n">
        <v>1</v>
      </c>
      <c r="X3" s="7" t="n">
        <v>1</v>
      </c>
      <c r="Y3" s="6" t="inlineStr">
        <is>
          <t>Yes</t>
        </is>
      </c>
      <c r="Z3" s="6" t="inlineStr">
        <is>
          <t>Yes</t>
        </is>
      </c>
      <c r="AA3" s="6" t="inlineStr">
        <is>
          <t>PASS</t>
        </is>
      </c>
      <c r="AB3" s="6" t="inlineStr"/>
      <c r="AC3" s="6" t="n"/>
      <c r="AD3" s="6">
        <f>IF(AC3="",AA3,AC3)</f>
        <v/>
      </c>
      <c r="AE3" s="6" t="n"/>
      <c r="AF3" s="6" t="n"/>
    </row>
    <row r="4">
      <c r="A4" s="6" t="inlineStr">
        <is>
          <t>SMK_B_003</t>
        </is>
      </c>
      <c r="B4" s="6" t="inlineStr">
        <is>
          <t>Direct Fact</t>
        </is>
      </c>
      <c r="C4" s="6" t="inlineStr">
        <is>
          <t>Theo sổ tay, hợp đồng lao động có thể được giao kết bằng lời nói trong trường hợp nào?</t>
        </is>
      </c>
      <c r="D4" s="6" t="inlineStr">
        <is>
          <t>Theo tài liệu, giao kết bằng lời nói áp dụng với công việc tạm thời có thời hạn dưới 03 tháng.</t>
        </is>
      </c>
      <c r="E4" s="6" t="inlineStr">
        <is>
          <t>Căn cứ: phần “Phần I - Hợp đồng lao động”, trang 11. 
Nội dung được tài liệu xác nhận: Theo tài liệu, giao kết bằng lời nói áp dụng với công việc tạm thời có thời hạn dưới 03 tháng.</t>
        </is>
      </c>
      <c r="F4" s="6" t="n">
        <v>11</v>
      </c>
      <c r="G4" s="6" t="inlineStr">
        <is>
          <t>Phần I - Hợp đồng lao động</t>
        </is>
      </c>
      <c r="H4" s="6" t="inlineStr">
        <is>
          <t>lời nói | tạm thời | dưới 03 tháng</t>
        </is>
      </c>
      <c r="I4" s="6" t="inlineStr">
        <is>
          <t>Easy</t>
        </is>
      </c>
      <c r="J4" s="6" t="inlineStr">
        <is>
          <t>Single Chunk</t>
        </is>
      </c>
      <c r="K4" s="6" t="inlineStr">
        <is>
          <t>Yes</t>
        </is>
      </c>
      <c r="L4" s="6" t="inlineStr">
        <is>
          <t>Answer from document</t>
        </is>
      </c>
      <c r="M4" s="6" t="n"/>
      <c r="N4" s="6" t="n"/>
      <c r="O4" s="6" t="n"/>
      <c r="P4" s="6" t="n"/>
      <c r="Q4" s="6" t="inlineStr">
        <is>
          <t>so-tay-kien-thuc-phap-luat-lao-dong-cdi</t>
        </is>
      </c>
      <c r="R4" s="6" t="inlineStr">
        <is>
          <t>Theo tài liệu, hợp đồng lao động có thể được giao kết bằng lời nói trong trường hợp làm công việc tạm thời có thời hạn dưới 03 tháng [SOURCE_1], [SOURCE_2].</t>
        </is>
      </c>
      <c r="S4" s="6" t="inlineStr">
        <is>
          <t>[SOURCE_1] so-tay-kien-thuc-phap-luat-lao-dong-cdi | tr.11 | Trả lời: | 0.9907
[SOURCE_2] so-tay-kien-thuc-phap-luat-lao-dong-cdi | tr.49 | Trả lời: | 0.9852</t>
        </is>
      </c>
      <c r="T4" s="6" t="inlineStr">
        <is>
          <t>[SOURCE_1] so-tay-kien-thuc-phap-luat-lao-dong-cdi | tr.11 | Trả lời: | 0.9907
[SOURCE_2] so-tay-kien-thuc-phap-luat-lao-dong-cdi | tr.49 | Trả lời: | 0.9852
[SOURCE_3] Văn-bản-hợp-nhất-18-VBHN-VPQH | tr.7 | Điều 14. Hình thức hợp đồng lao động | 0.9647
[SOURCE_4] giao trinh Luat lao dong CB 2005 (1) | tr.36 | b. Hình thức của hợp đồng lao động | 0.9553
[SOURCE_5] so-tay-kien-thuc-phap-luat-lao-dong-cdi | tr.6 | Mục lục &gt; KIẾN THỨC VỀ PHÁP LUẬT LAO ĐỘNG | 0.7975</t>
        </is>
      </c>
      <c r="U4" s="6" t="inlineStr">
        <is>
          <t>gemini-3.5-flash-lite</t>
        </is>
      </c>
      <c r="V4" s="6" t="n">
        <v>19.5</v>
      </c>
      <c r="W4" s="7" t="n">
        <v>1</v>
      </c>
      <c r="X4" s="7" t="n">
        <v>0.875</v>
      </c>
      <c r="Y4" s="6" t="inlineStr">
        <is>
          <t>Yes</t>
        </is>
      </c>
      <c r="Z4" s="6" t="inlineStr">
        <is>
          <t>Yes</t>
        </is>
      </c>
      <c r="AA4" s="6" t="inlineStr">
        <is>
          <t>PASS</t>
        </is>
      </c>
      <c r="AB4" s="6" t="inlineStr"/>
      <c r="AC4" s="6" t="n"/>
      <c r="AD4" s="6">
        <f>IF(AC4="",AA4,AC4)</f>
        <v/>
      </c>
      <c r="AE4" s="6" t="n"/>
      <c r="AF4" s="6" t="n"/>
    </row>
    <row r="5">
      <c r="A5" s="6" t="inlineStr">
        <is>
          <t>SMK_B_004</t>
        </is>
      </c>
      <c r="B5" s="6" t="inlineStr">
        <is>
          <t>Direct Fact</t>
        </is>
      </c>
      <c r="C5" s="6" t="inlineStr">
        <is>
          <t>Sổ tay có đề cập nội dung “khi nào được ký HĐLĐ không xác định thời hạn” ở phần nào?</t>
        </is>
      </c>
      <c r="D5" s="6" t="inlineStr">
        <is>
          <t>Nội dung này nằm trong Phần I - Hợp đồng lao động.</t>
        </is>
      </c>
      <c r="E5" s="6" t="inlineStr">
        <is>
          <t>Căn cứ: phần “Phần I - Hợp đồng lao động”, trang 6. 
Nội dung được tài liệu xác nhận: Nội dung này nằm trong Phần I - Hợp đồng lao động.</t>
        </is>
      </c>
      <c r="F5" s="6" t="n">
        <v>6</v>
      </c>
      <c r="G5" s="6" t="inlineStr">
        <is>
          <t>Phần I - Hợp đồng lao động</t>
        </is>
      </c>
      <c r="H5" s="6" t="inlineStr">
        <is>
          <t>HĐLĐ không xác định thời hạn</t>
        </is>
      </c>
      <c r="I5" s="6" t="inlineStr">
        <is>
          <t>Easy</t>
        </is>
      </c>
      <c r="J5" s="6" t="inlineStr">
        <is>
          <t>Single Chunk</t>
        </is>
      </c>
      <c r="K5" s="6" t="inlineStr">
        <is>
          <t>Yes</t>
        </is>
      </c>
      <c r="L5" s="6" t="inlineStr">
        <is>
          <t>Answer from document</t>
        </is>
      </c>
      <c r="M5" s="6" t="n"/>
      <c r="N5" s="6" t="n"/>
      <c r="O5" s="6" t="n"/>
      <c r="P5" s="6" t="n"/>
      <c r="Q5" s="6" t="inlineStr">
        <is>
          <t>so-tay-kien-thuc-phap-luat-lao-dong-cdi</t>
        </is>
      </c>
      <c r="R5" s="6" t="inlineStr">
        <is>
          <t>Dựa trên tài liệu được cung cấp, nội dung liên quan đến việc khi nào hợp đồng lao động trở thành hoặc phải ký kết thành hợp đồng lao động không xác định thời hạn được đề cập tại các phần sau:
* **Phần 5. Gia hạn HĐLĐ** (Trang 18, tài liệu `ILO-VCCI_Labour-Law-Guide-Book-V04-Final.pdf`): Nêu rõ theo quy định mới tại BLLĐ 2019, khi hợp đồng lao động xác định thời hạn đầu tiên kết thúc, người sử dụng lao động chỉ có thể ký thêm một hợp đồng lao động xác định thời hạn nữa và sau đó phải ký hợp đồng lao động không xác định thời hạn với người lao động [SOURCE_1].
* **Phần Điều 20. Loại hợp đồng lao động** (Trang 9, tài liệu `Văn-bản-hợp-nhất-18-VBHN-VPQH.pdf`): Quy định khi hợp đồng lao động hết hạn mà hai bên không ký kết hợp đồng mới thì hợp đồng đã giao kết trở thành hợp đồng lao động không xác định thời hạn; hoặc trường hợp hai bên ký kết hợp đồng lao động mới là hợp đồng xác định thời hạn thì cũng chỉ được ký thêm 01 lần, sau đó nếu người lao động vẫn tiếp tục làm việc thì phải ký kết hợp đồng lao động không xác định thời hạn (trừ một số trường hợp ngoại lệ) [SOURCE_3].
* **Phần Trả lời:** (Trang 13, tài liệu `so-tay-kien-thuc-phap-luat-lao-dong-cdi.pdf`): Nêu rõ hai trường hợp chuyển từ hợp đồng xác định thời hạn sang không xác định thời hạn, bao gồm việc hết hạn hợp đồng sau 30 ngày mà không ký hợp đồng mới, hoặc sau khi đã ký thêm 01 lần hợp đồng xác định thời hạn mà người lao động vẫn tiếp tục làm việc [SOURCE_4].
* **Phần Điều 22. Loại hợp đồng lao động** (Trang 76, tài liệu `luu-ban-nhap-tu-dong-3-4.pdf`): Nêu rõ các trường hợp hết hạn mà không ký kết hợp đồng mới trong thời hạn 30 ngày hoặc sau khi ký thêm 01 lần hợp đồng xác định thời hạn thì phải ký kết hợp đồng lao động không xác định thời hạn [SOURCE_5].</t>
        </is>
      </c>
      <c r="S5" s="6" t="inlineStr">
        <is>
          <t>[SOURCE_1] ILO-VCCI_Labour-Law-Guide-Book-V04-Final | tr.18 | 5. Gia hạn HĐLĐ | 0.8821
[SOURCE_3] Văn-bản-hợp-nhất-18-VBHN-VPQH | tr.9 | Điều 20. Loại hợp đồng lao động | 0.8088
[SOURCE_4] so-tay-kien-thuc-phap-luat-lao-dong-cdi | tr.13 | Trả lời: | 0.8098
[SOURCE_5] luu-ban-nhap-tu-dong-3-4 | tr.76 | Điều 22. Loại hợp đồng lao động | 0.7937</t>
        </is>
      </c>
      <c r="T5" s="6" t="inlineStr">
        <is>
          <t>[SOURCE_1] ILO-VCCI_Labour-Law-Guide-Book-V04-Final | tr.18 | 5. Gia hạn HĐLĐ | 0.8821
[SOURCE_2] ILO-VCCI_Labour-Law-Guide-Book-V04-Final | tr.19 | (a) Đối với người lao động cao tuổi: | 0.8691
[SOURCE_3] Văn-bản-hợp-nhất-18-VBHN-VPQH | tr.9 | Điều 20. Loại hợp đồng lao động | 0.8088
[SOURCE_4] so-tay-kien-thuc-phap-luat-lao-dong-cdi | tr.13 | Trả lời: | 0.8098
[SOURCE_5] luu-ban-nhap-tu-dong-3-4 | tr.76 | Điều 22. Loại hợp đồng lao động | 0.7937</t>
        </is>
      </c>
      <c r="U5" s="6" t="inlineStr">
        <is>
          <t>gemini-3.5-flash-lite</t>
        </is>
      </c>
      <c r="V5" s="6" t="n">
        <v>20.2</v>
      </c>
      <c r="W5" s="7" t="n">
        <v>1</v>
      </c>
      <c r="X5" s="7" t="n">
        <v>0.875</v>
      </c>
      <c r="Y5" s="6" t="inlineStr">
        <is>
          <t>Yes</t>
        </is>
      </c>
      <c r="Z5" s="6" t="inlineStr">
        <is>
          <t>No</t>
        </is>
      </c>
      <c r="AA5" s="6" t="inlineStr">
        <is>
          <t>PASS</t>
        </is>
      </c>
      <c r="AB5" s="6" t="inlineStr">
        <is>
          <t>Không trích đúng trang 6 (±1)</t>
        </is>
      </c>
      <c r="AC5" s="6" t="n"/>
      <c r="AD5" s="6">
        <f>IF(AC5="",AA5,AC5)</f>
        <v/>
      </c>
      <c r="AE5" s="6" t="n"/>
      <c r="AF5" s="6" t="n"/>
    </row>
    <row r="6">
      <c r="A6" s="6" t="inlineStr">
        <is>
          <t>SMK_C_005</t>
        </is>
      </c>
      <c r="B6" s="6" t="inlineStr">
        <is>
          <t>Direct Fact</t>
        </is>
      </c>
      <c r="C6" s="6" t="inlineStr">
        <is>
          <t>Nghị định nào trong mục lục quy định chi tiết về hợp đồng lao động?</t>
        </is>
      </c>
      <c r="D6" s="6" t="inlineStr">
        <is>
          <t>Nghị định số 44/2013/NĐ-CP ngày 10/05/2013.</t>
        </is>
      </c>
      <c r="E6" s="6" t="inlineStr">
        <is>
          <t>Căn cứ: phần “Mục lục”, trang 4. Nội dung được tài liệu xác nhận: Nghị định số 44/2013/NĐ-CP ngày 10/05/2013.</t>
        </is>
      </c>
      <c r="F6" s="6" t="n">
        <v>4</v>
      </c>
      <c r="G6" s="6" t="inlineStr">
        <is>
          <t>Mục lục</t>
        </is>
      </c>
      <c r="H6" s="6" t="inlineStr">
        <is>
          <t>44/2013/NĐ-CP | hợp đồng lao động</t>
        </is>
      </c>
      <c r="I6" s="6" t="inlineStr">
        <is>
          <t>Easy</t>
        </is>
      </c>
      <c r="J6" s="6" t="inlineStr">
        <is>
          <t>Single Chunk</t>
        </is>
      </c>
      <c r="K6" s="6" t="inlineStr">
        <is>
          <t>Yes</t>
        </is>
      </c>
      <c r="L6" s="6" t="inlineStr">
        <is>
          <t>Answer from document</t>
        </is>
      </c>
      <c r="M6" s="6" t="n"/>
      <c r="N6" s="6" t="n"/>
      <c r="O6" s="6" t="n"/>
      <c r="P6" s="6" t="n"/>
      <c r="Q6" s="6" t="inlineStr">
        <is>
          <t>luu-ban-nhap-tu-dong-3-4</t>
        </is>
      </c>
      <c r="R6" s="6" t="inlineStr">
        <is>
          <t>Dựa trên tài liệu được cung cấp, Nghị định quy định chi tiết thi hành một số điều của Bộ luật Lao động về hợp đồng lao động trong mục lục là Nghị định số 44/2013/NĐ-CP ngày 10/05/2013 của Chính Phủ [SOURCE_2], [SOURCE_5].</t>
        </is>
      </c>
      <c r="S6" s="6" t="inlineStr">
        <is>
          <t>[SOURCE_2] luu-ban-nhap-tu-dong-3-4 | tr.4 | MỤC LỤC | 0.9751
[SOURCE_5] so-tay-kien-thuc-phap-luat-lao-dong-cdi | tr.53 | Lao động - Tiền lương | 0.9646</t>
        </is>
      </c>
      <c r="T6" s="6" t="inlineStr">
        <is>
          <t>[SOURCE_1] luu-ban-nhap-tu-dong-3-4 | tr.77 | Điều 24. Phụ lục hợp đồng lao động | 0.9769
[SOURCE_2] luu-ban-nhap-tu-dong-3-4 | tr.4 | MỤC LỤC | 0.9751
[SOURCE_3] giao trinh Luat lao dong CB 2005 (1) | tr.209 | DANH MỤC TÀI LIỆU THAM KHẢO | 0.9705
[SOURCE_4] luu-ban-nhap-tu-dong-3-4 | tr.572 | NGHI DINH | 0.9702
[SOURCE_5] so-tay-kien-thuc-phap-luat-lao-dong-cdi | tr.53 | Lao động - Tiền lương | 0.9646</t>
        </is>
      </c>
      <c r="U6" s="6" t="inlineStr">
        <is>
          <t>gemini-3.5-flash-lite</t>
        </is>
      </c>
      <c r="V6" s="6" t="n">
        <v>24.4</v>
      </c>
      <c r="W6" s="7" t="n">
        <v>1</v>
      </c>
      <c r="X6" s="7" t="n">
        <v>1</v>
      </c>
      <c r="Y6" s="6" t="inlineStr">
        <is>
          <t>Yes</t>
        </is>
      </c>
      <c r="Z6" s="6" t="inlineStr">
        <is>
          <t>Yes</t>
        </is>
      </c>
      <c r="AA6" s="6" t="inlineStr">
        <is>
          <t>PASS</t>
        </is>
      </c>
      <c r="AB6" s="6" t="inlineStr"/>
      <c r="AC6" s="6" t="n"/>
      <c r="AD6" s="6">
        <f>IF(AC6="",AA6,AC6)</f>
        <v/>
      </c>
      <c r="AE6" s="6" t="n"/>
      <c r="AF6" s="6" t="n"/>
    </row>
    <row r="7">
      <c r="A7" s="6" t="inlineStr">
        <is>
          <t>SMK_C_006</t>
        </is>
      </c>
      <c r="B7" s="6" t="inlineStr">
        <is>
          <t>Direct Fact</t>
        </is>
      </c>
      <c r="C7" s="6" t="inlineStr">
        <is>
          <t>Nghị định nào trong mục lục liên quan đến tranh chấp lao động?</t>
        </is>
      </c>
      <c r="D7" s="6" t="inlineStr">
        <is>
          <t>Nghị định số 46/2013/NĐ-CP ngày 10/05/2013.</t>
        </is>
      </c>
      <c r="E7" s="6" t="inlineStr">
        <is>
          <t>Căn cứ: phần “Mục lục”, trang 4. Nội dung được tài liệu xác nhận: Nghị định số 46/2013/NĐ-CP ngày 10/05/2013.</t>
        </is>
      </c>
      <c r="F7" s="6" t="n">
        <v>4</v>
      </c>
      <c r="G7" s="6" t="inlineStr">
        <is>
          <t>Mục lục</t>
        </is>
      </c>
      <c r="H7" s="6" t="inlineStr">
        <is>
          <t>46/2013/NĐ-CP | tranh chấp lao động</t>
        </is>
      </c>
      <c r="I7" s="6" t="inlineStr">
        <is>
          <t>Easy</t>
        </is>
      </c>
      <c r="J7" s="6" t="inlineStr">
        <is>
          <t>Single Chunk</t>
        </is>
      </c>
      <c r="K7" s="6" t="inlineStr">
        <is>
          <t>Yes</t>
        </is>
      </c>
      <c r="L7" s="6" t="inlineStr">
        <is>
          <t>Answer from document</t>
        </is>
      </c>
      <c r="M7" s="6" t="n"/>
      <c r="N7" s="6" t="n"/>
      <c r="O7" s="6" t="n"/>
      <c r="P7" s="6" t="n"/>
      <c r="Q7" s="6" t="inlineStr">
        <is>
          <t>luu-ban-nhap-tu-dong-3-4</t>
        </is>
      </c>
      <c r="R7" s="6" t="inlineStr">
        <is>
          <t>Dựa trên tài liệu được cung cấp, văn bản liên quan đến tranh chấp lao động trong mục lục là **Nghị định số 46/2013/NĐ - CP ngày 10/05/2013 của Chính Phủ quy định chi tiết thi hành một số điều của Bộ luật lao động về tranh chấp lao động** [SOURCE_1].</t>
        </is>
      </c>
      <c r="S7" s="6" t="inlineStr">
        <is>
          <t>[SOURCE_1] luu-ban-nhap-tu-dong-3-4 | tr.4 | MỤC LỤC | 0.9832</t>
        </is>
      </c>
      <c r="T7" s="6" t="inlineStr">
        <is>
          <t>[SOURCE_1] luu-ban-nhap-tu-dong-3-4 | tr.4 | MỤC LỤC | 0.9832
[SOURCE_2] luu-ban-nhap-tu-dong-3-4 | tr.54 | Chương XIV &gt; GIẢI QUYẾT TRANH CHẤP LAO ĐỘNG Mục 1. NHỮNG QUY | 0.9827</t>
        </is>
      </c>
      <c r="U7" s="6" t="inlineStr">
        <is>
          <t>gemini-3.5-flash-lite</t>
        </is>
      </c>
      <c r="V7" s="6" t="n">
        <v>21.8</v>
      </c>
      <c r="W7" s="7" t="n">
        <v>1</v>
      </c>
      <c r="X7" s="7" t="n">
        <v>1</v>
      </c>
      <c r="Y7" s="6" t="inlineStr">
        <is>
          <t>Yes</t>
        </is>
      </c>
      <c r="Z7" s="6" t="inlineStr">
        <is>
          <t>Yes</t>
        </is>
      </c>
      <c r="AA7" s="6" t="inlineStr">
        <is>
          <t>PASS</t>
        </is>
      </c>
      <c r="AB7" s="6" t="inlineStr"/>
      <c r="AC7" s="6" t="n"/>
      <c r="AD7" s="6">
        <f>IF(AC7="",AA7,AC7)</f>
        <v/>
      </c>
      <c r="AE7" s="6" t="n"/>
      <c r="AF7" s="6" t="n"/>
    </row>
    <row r="8">
      <c r="A8" s="6" t="inlineStr">
        <is>
          <t>SMK_D_007</t>
        </is>
      </c>
      <c r="B8" s="6" t="inlineStr">
        <is>
          <t>Direct Fact</t>
        </is>
      </c>
      <c r="C8" s="6" t="inlineStr">
        <is>
          <t>Cẩm nang so sánh chủ yếu hai phiên bản Bộ luật Lao động nào?</t>
        </is>
      </c>
      <c r="D8" s="6" t="inlineStr">
        <is>
          <t>BLLĐ 2012 và BLLĐ 2019.</t>
        </is>
      </c>
      <c r="E8" s="6" t="inlineStr">
        <is>
          <t>Căn cứ: phần “Lời nói đầu”, trang None. Nội dung được tài liệu xác nhận: BLLĐ 2012 và BLLĐ 2019.</t>
        </is>
      </c>
      <c r="F8" s="6" t="n"/>
      <c r="G8" s="6" t="inlineStr">
        <is>
          <t>Lời nói đầu</t>
        </is>
      </c>
      <c r="H8" s="6" t="inlineStr">
        <is>
          <t>BLLĐ 2012 | BLLĐ 2019</t>
        </is>
      </c>
      <c r="I8" s="6" t="inlineStr">
        <is>
          <t>Easy</t>
        </is>
      </c>
      <c r="J8" s="6" t="inlineStr">
        <is>
          <t>Single Chunk</t>
        </is>
      </c>
      <c r="K8" s="6" t="inlineStr">
        <is>
          <t>Yes</t>
        </is>
      </c>
      <c r="L8" s="6" t="inlineStr">
        <is>
          <t>Answer from document</t>
        </is>
      </c>
      <c r="M8" s="6" t="n"/>
      <c r="N8" s="6" t="n"/>
      <c r="O8" s="6" t="n"/>
      <c r="P8" s="6" t="n"/>
      <c r="Q8" s="6" t="inlineStr">
        <is>
          <t>ILO-VCCI_Labour-Law-Guide-Book-V04-Final</t>
        </is>
      </c>
      <c r="R8" s="6" t="inlineStr">
        <is>
          <t>Dựa trên tài liệu được cung cấp, cẩm nang thực hiện việc so sánh quy định giữa hai phiên bản là Bộ luật Lao động 2012 (BLLĐ 2012) và Bộ luật Lao động 2019 (BLLĐ 2019) [SOURCE_1].</t>
        </is>
      </c>
      <c r="S8" s="6" t="inlineStr">
        <is>
          <t>[SOURCE_1] ILO-VCCI_Labour-Law-Guide-Book-V04-Final | tr.4 | C ẨM NANG THỰC HIỆN BỘ LUẬT LAO ĐỘNG 2019 TẠI DOANH NGHIỆP | 0.7989</t>
        </is>
      </c>
      <c r="T8" s="6" t="inlineStr">
        <is>
          <t>[SOURCE_1] ILO-VCCI_Labour-Law-Guide-Book-V04-Final | tr.4 | C ẨM NANG THỰC HIỆN BỘ LUẬT LAO ĐỘNG 2019 TẠI DOANH NGHIỆP | 0.7989
[SOURCE_2] ILO-VCCI_Labour-Law-Guide-Book-V04-Final | tr.131 | K ẾT LUẬN | 0.489</t>
        </is>
      </c>
      <c r="U8" s="6" t="inlineStr">
        <is>
          <t>gemini-3.5-flash-lite</t>
        </is>
      </c>
      <c r="V8" s="6" t="n">
        <v>19.2</v>
      </c>
      <c r="W8" s="7" t="n">
        <v>1</v>
      </c>
      <c r="X8" s="7" t="n">
        <v>1</v>
      </c>
      <c r="Y8" s="6" t="inlineStr">
        <is>
          <t>Yes</t>
        </is>
      </c>
      <c r="Z8" s="6" t="inlineStr">
        <is>
          <t>n/a</t>
        </is>
      </c>
      <c r="AA8" s="6" t="inlineStr">
        <is>
          <t>PASS</t>
        </is>
      </c>
      <c r="AB8" s="6" t="inlineStr"/>
      <c r="AC8" s="6" t="n"/>
      <c r="AD8" s="6">
        <f>IF(AC8="",AA8,AC8)</f>
        <v/>
      </c>
      <c r="AE8" s="6" t="n"/>
      <c r="AF8" s="6" t="n"/>
    </row>
    <row r="9">
      <c r="A9" s="6" t="inlineStr">
        <is>
          <t>SMK_D_008</t>
        </is>
      </c>
      <c r="B9" s="6" t="inlineStr">
        <is>
          <t>List</t>
        </is>
      </c>
      <c r="C9" s="6" t="inlineStr">
        <is>
          <t>Cẩm nang tập trung vào những nhóm nội dung chính nào?</t>
        </is>
      </c>
      <c r="D9" s="6" t="inlineStr">
        <is>
          <t>Gồm quan hệ/HĐLĐ, chấm dứt HĐLĐ, tiền lương, nghỉ lễ-tết và làm thêm giờ, nghỉ hưu, lao động nữ, kỷ luật lao động; đồng thời có đối thoại và thương lượng tập thể.</t>
        </is>
      </c>
      <c r="E9" s="6" t="inlineStr">
        <is>
          <t>Căn cứ: phần “Lời nói đầu/Mục lục”, trang 4. Nội dung được tài liệu xác nhận: Gồm quan hệ/HĐLĐ, chấm dứt HĐLĐ, tiền lương, nghỉ lễ-tết và làm thêm giờ, nghỉ hưu, lao động nữ, kỷ luật lao động; đồng thời có đối thoại và thương lượng tập thể.</t>
        </is>
      </c>
      <c r="F9" s="6" t="n">
        <v>4</v>
      </c>
      <c r="G9" s="6" t="inlineStr">
        <is>
          <t>Lời nói đầu/Mục lục</t>
        </is>
      </c>
      <c r="H9" s="6" t="inlineStr">
        <is>
          <t>HĐLĐ | chấm dứt | tiền lương | làm thêm | nghỉ hưu | lao động nữ | kỷ luật</t>
        </is>
      </c>
      <c r="I9" s="6" t="inlineStr">
        <is>
          <t>Easy</t>
        </is>
      </c>
      <c r="J9" s="6" t="inlineStr">
        <is>
          <t>Single Chunk</t>
        </is>
      </c>
      <c r="K9" s="6" t="inlineStr">
        <is>
          <t>Yes</t>
        </is>
      </c>
      <c r="L9" s="6" t="inlineStr">
        <is>
          <t>Answer from document</t>
        </is>
      </c>
      <c r="M9" s="6" t="n"/>
      <c r="N9" s="6" t="n"/>
      <c r="O9" s="6" t="n"/>
      <c r="P9" s="6" t="n"/>
      <c r="Q9" s="6" t="inlineStr">
        <is>
          <t>ILO-VCCI_Labour-Law-Guide-Book-V04-Final</t>
        </is>
      </c>
      <c r="R9" s="6" t="inlineStr">
        <is>
          <t>Dựa trên tài liệu được cung cấp, cẩm nang tập trung vào các thay đổi quan trọng liên quan đến: HĐLĐ; hình thức của HĐLĐ; hành vi người sử dụng lao động (NSDLĐ) không được làm khi giao kết, thực hiện HĐLĐ; thời gian thử việc; chuyển người lao động (NLĐ) làm công việc khác so với HĐLĐ; tạm hoãn thực hiện HĐLĐ; quyền đơn phương chấm dứt HĐLĐ của NLĐ; quyền đơn phương chấm dứt HĐLĐ của NSDLĐ; tổ chức đối thoại tại nơi làm việc; thang lương, bảng lương (TLTT); nguyên tắc trả lương; thưởng; làm thêm giờ; nghỉ lễ, tết; sử dụng NLĐ cao tuổi; tuổi nghỉ hưu [SOURCE_1].
Bên cạnh đó, nội dung chính của cẩm nang cũng được bao gồm trong các phần: Giới thiệu về thang lương, bảng lương tại doanh nghiệp (TLTTNDN); Quan hệ lao động (QHLĐ) và Hợp đồng lao động (HĐLĐ); Chấm dứt HĐLĐ; Tiền lương; Ngày nghỉ lễ, tết – Quy định về làm thêm giờ; Nghỉ hưu; Lao động nữ; Kỷ luật lao động (KLLĐ) [SOURCE_1], [SOURCE_2].</t>
        </is>
      </c>
      <c r="S9" s="6" t="inlineStr">
        <is>
          <t>[SOURCE_1] ILO-VCCI_Labour-Law-Guide-Book-V04-Final | tr.4 | C ẨM NANG THỰC HIỆN BỘ LUẬT LAO ĐỘNG 2019 TẠI DOANH NGHIỆP | 0.9776
[SOURCE_2] ILO-VCCI_Labour-Law-Guide-Book-V04-Final | tr.4 | C ẨM NANG THỰC HIỆN BỘ LUẬT LAO ĐỘNG 2019 TẠI DOANH NGHIỆP | 0.9514</t>
        </is>
      </c>
      <c r="T9" s="6" t="inlineStr">
        <is>
          <t>[SOURCE_1] ILO-VCCI_Labour-Law-Guide-Book-V04-Final | tr.4 | C ẨM NANG THỰC HIỆN BỘ LUẬT LAO ĐỘNG 2019 TẠI DOANH NGHIỆP | 0.9776
[SOURCE_2] ILO-VCCI_Labour-Law-Guide-Book-V04-Final | tr.4 | C ẨM NANG THỰC HIỆN BỘ LUẬT LAO ĐỘNG 2019 TẠI DOANH NGHIỆP | 0.9514
[SOURCE_3] ILO-VCCI_Labour-Law-Guide-Book-V04-Final | tr.131 | K ẾT LUẬN | 0.5574</t>
        </is>
      </c>
      <c r="U9" s="6" t="inlineStr">
        <is>
          <t>gemini-3.5-flash-lite</t>
        </is>
      </c>
      <c r="V9" s="6" t="n">
        <v>23.3</v>
      </c>
      <c r="W9" s="7" t="n">
        <v>1</v>
      </c>
      <c r="X9" s="7" t="n">
        <v>0.918918918918919</v>
      </c>
      <c r="Y9" s="6" t="inlineStr">
        <is>
          <t>Yes</t>
        </is>
      </c>
      <c r="Z9" s="6" t="inlineStr">
        <is>
          <t>Yes</t>
        </is>
      </c>
      <c r="AA9" s="6" t="inlineStr">
        <is>
          <t>PASS</t>
        </is>
      </c>
      <c r="AB9" s="6" t="inlineStr"/>
      <c r="AC9" s="6" t="n"/>
      <c r="AD9" s="6">
        <f>IF(AC9="",AA9,AC9)</f>
        <v/>
      </c>
      <c r="AE9" s="6" t="n"/>
      <c r="AF9" s="6" t="n"/>
    </row>
    <row r="10">
      <c r="A10" s="6" t="inlineStr">
        <is>
          <t>SMK_E_009</t>
        </is>
      </c>
      <c r="B10" s="6" t="inlineStr">
        <is>
          <t>Definition</t>
        </is>
      </c>
      <c r="C10" s="6" t="inlineStr">
        <is>
          <t>Theo Điều 3, người lao động được định nghĩa như thế nào?</t>
        </is>
      </c>
      <c r="D10" s="6" t="inlineStr">
        <is>
          <t>Là người làm việc cho NSDLĐ theo thỏa thuận, được trả lương và chịu sự quản lý, điều hành, giám sát của NSDLĐ.</t>
        </is>
      </c>
      <c r="E10" s="6" t="inlineStr">
        <is>
          <t>Căn cứ: phần “Điều 3”, trang 2. Nội dung được tài liệu xác nhận: Là người làm việc cho NSDLĐ theo thỏa thuận, được trả lương và chịu sự quản lý, điều hành, giám sát của NSDLĐ.</t>
        </is>
      </c>
      <c r="F10" s="6" t="n">
        <v>2</v>
      </c>
      <c r="G10" s="6" t="inlineStr">
        <is>
          <t>Điều 3</t>
        </is>
      </c>
      <c r="H10" s="6" t="inlineStr">
        <is>
          <t>thỏa thuận | trả lương | quản lý | điều hành | giám sát</t>
        </is>
      </c>
      <c r="I10" s="6" t="inlineStr">
        <is>
          <t>Easy</t>
        </is>
      </c>
      <c r="J10" s="6" t="inlineStr">
        <is>
          <t>Single Chunk</t>
        </is>
      </c>
      <c r="K10" s="6" t="inlineStr">
        <is>
          <t>Yes</t>
        </is>
      </c>
      <c r="L10" s="6" t="inlineStr">
        <is>
          <t>Answer from document</t>
        </is>
      </c>
      <c r="M10" s="6" t="n"/>
      <c r="N10" s="6" t="n"/>
      <c r="O10" s="6" t="n"/>
      <c r="P10" s="6" t="n"/>
      <c r="Q10" s="6" t="inlineStr">
        <is>
          <t>Văn-bản-hợp-nhất-18-VBHN-VPQH</t>
        </is>
      </c>
      <c r="R10" s="6" t="inlineStr">
        <is>
          <t>Dựa trên các tài liệu được cung cấp, thuật ngữ "người lao động" được định nghĩa tùy theo từng văn bản cụ thể như sau:
* Theo Bộ luật (Văn-bản-hợp-nhất-18-VBHN-VPQH), người lao động là người làm việc cho người sử dụng lao động theo thỏa thuận, được trả lương và chịu sự quản lý, điều hành, giám sát của người sử dụng lao động [SOURCE_1].
* Theo tài liệu `luu-ban-nhap-tu-dong-3-4.pdf` (trang 69), người lao động là người từ đủ 15 tuổi trở lên, có khả năng lao động, làm việc theo hợp đồng lao động, được trả lương và chịu sự quản lý, điều hành của người sử dụng lao động [SOURCE_2].
* Theo tài liệu `luu-ban-nhap-tu-dong-3-4.pdf` (trang 272), người lao động là công dân Việt Nam từ đủ 15 tuổi trở lên, có khả năng lao động và có nhu cầu làm việc [SOURCE_3].
* Theo tài liệu `luu-ban-nhap-tu-dong-3-4.pdf` (trang 526 - quy định về lao động giúp việc gia đình), người lao động bao gồm: người lao động sống tại gia đình người sử dụng lao động và người lao động không sống tại gia đình người sử dụng lao động [SOURCE_4].
* Theo tài liệu `luu-ban-nhap-tu-dong-3-4.pdf` (trang 336 - quy định về người lao động đi làm việc ở nước ngoài), người lao động đi làm việc ở nước ngoài theo hợp đồng là công dân Việt Nam cư trú tại Việt Nam, có đủ các điều kiện theo quy định của pháp luật Việt Nam và pháp luật của nước tiếp nhận người lao động, đi làm việc ở nước ngoài theo quy định của Luật đó [SOURCE_5].</t>
        </is>
      </c>
      <c r="S10" s="6" t="inlineStr">
        <is>
          <t>[SOURCE_1] Văn-bản-hợp-nhất-18-VBHN-VPQH | tr.2 | Điều 3. Giai thích từ ngữ | 0.9878
[SOURCE_2] luu-ban-nhap-tu-dong-3-4 | tr.69 | Điều 3. Giải thích từ ngữ ữ | 0.9818
[SOURCE_3] luu-ban-nhap-tu-dong-3-4 | tr.272 | Điều 3. Giải thích từ ngữ | 0.9734
[SOURCE_4] luu-ban-nhap-tu-dong-3-4 | tr.526 | Điều 3. Giải thích từ ngữ | 0.9683
[SOURCE_5] luu-ban-nhap-tu-dong-3-4 | tr.336 | Điều 3. Giải thích từ ngữ | 0.796</t>
        </is>
      </c>
      <c r="T10" s="6" t="inlineStr">
        <is>
          <t>[SOURCE_1] Văn-bản-hợp-nhất-18-VBHN-VPQH | tr.2 | Điều 3. Giai thích từ ngữ | 0.9878
[SOURCE_2] luu-ban-nhap-tu-dong-3-4 | tr.69 | Điều 3. Giải thích từ ngữ ữ | 0.9818
[SOURCE_3] luu-ban-nhap-tu-dong-3-4 | tr.272 | Điều 3. Giải thích từ ngữ | 0.9734
[SOURCE_4] luu-ban-nhap-tu-dong-3-4 | tr.526 | Điều 3. Giải thích từ ngữ | 0.9683
[SOURCE_5] luu-ban-nhap-tu-dong-3-4 | tr.336 | Điều 3. Giải thích từ ngữ | 0.796</t>
        </is>
      </c>
      <c r="U10" s="6" t="inlineStr">
        <is>
          <t>gemini-3.5-flash-lite</t>
        </is>
      </c>
      <c r="V10" s="6" t="n">
        <v>24.9</v>
      </c>
      <c r="W10" s="7" t="n">
        <v>1</v>
      </c>
      <c r="X10" s="7" t="n">
        <v>1</v>
      </c>
      <c r="Y10" s="6" t="inlineStr">
        <is>
          <t>Yes</t>
        </is>
      </c>
      <c r="Z10" s="6" t="inlineStr">
        <is>
          <t>Yes</t>
        </is>
      </c>
      <c r="AA10" s="6" t="inlineStr">
        <is>
          <t>PASS</t>
        </is>
      </c>
      <c r="AB10" s="6" t="inlineStr"/>
      <c r="AC10" s="6" t="n"/>
      <c r="AD10" s="6">
        <f>IF(AC10="",AA10,AC10)</f>
        <v/>
      </c>
      <c r="AE10" s="6" t="n"/>
      <c r="AF10" s="6" t="n"/>
    </row>
    <row r="11">
      <c r="A11" s="6" t="inlineStr">
        <is>
          <t>SMK_E_010</t>
        </is>
      </c>
      <c r="B11" s="6" t="inlineStr">
        <is>
          <t>Definition</t>
        </is>
      </c>
      <c r="C11" s="6" t="inlineStr">
        <is>
          <t>Quan hệ lao động bao gồm những loại nào?</t>
        </is>
      </c>
      <c r="D11" s="6" t="inlineStr">
        <is>
          <t>Bao gồm quan hệ lao động cá nhân và quan hệ lao động tập thể.</t>
        </is>
      </c>
      <c r="E11" s="6" t="inlineStr">
        <is>
          <t>Căn cứ: phần “Điều 3”, trang None. Nội dung được tài liệu xác nhận: Bao gồm quan hệ lao động cá nhân và quan hệ lao động tập thể.</t>
        </is>
      </c>
      <c r="F11" s="6" t="n"/>
      <c r="G11" s="6" t="inlineStr">
        <is>
          <t>Điều 3</t>
        </is>
      </c>
      <c r="H11" s="6" t="inlineStr">
        <is>
          <t>cá nhân | tập thể</t>
        </is>
      </c>
      <c r="I11" s="6" t="inlineStr">
        <is>
          <t>Easy</t>
        </is>
      </c>
      <c r="J11" s="6" t="inlineStr">
        <is>
          <t>Single Chunk</t>
        </is>
      </c>
      <c r="K11" s="6" t="inlineStr">
        <is>
          <t>Yes</t>
        </is>
      </c>
      <c r="L11" s="6" t="inlineStr">
        <is>
          <t>Answer from document</t>
        </is>
      </c>
      <c r="M11" s="6" t="n"/>
      <c r="N11" s="6" t="n"/>
      <c r="O11" s="6" t="n"/>
      <c r="P11" s="6" t="n"/>
      <c r="Q11" s="6" t="inlineStr">
        <is>
          <t>Văn-bản-hợp-nhất-18-VBHN-VPQH</t>
        </is>
      </c>
      <c r="R11" s="6" t="inlineStr">
        <is>
          <t>Dựa trên tài liệu được cung cấp, quan hệ lao động bao gồm quan hệ lao động cá nhân và quan hệ lao động tập thể [SOURCE_2].</t>
        </is>
      </c>
      <c r="S11" s="6" t="inlineStr">
        <is>
          <t>[SOURCE_2] Văn-bản-hợp-nhất-18-VBHN-VPQH | tr.2 | Điều 3. Giai thích từ ngữ | 0.9832</t>
        </is>
      </c>
      <c r="T11" s="6" t="inlineStr">
        <is>
          <t>[SOURCE_1] giao trinh Luat lao dong CB 2005 (1) | tr.4 | b - Các quan hệ liên quan đến quan hệ lao động | 0.9914
[SOURCE_2] Văn-bản-hợp-nhất-18-VBHN-VPQH | tr.2 | Điều 3. Giai thích từ ngữ | 0.9832
[SOURCE_3] giao trinh Luat lao dong CB 2005 (1) | tr.196 | d. Phân loại tranh chấp lao động &gt; · Căn cứ vào quy mô của t | 0.9675
[SOURCE_4] giao trinh Luat lao dong CB 2005 (1) | tr.3 | a - Quan hệ lao động | 0.9593
[SOURCE_5] giao trinh Luat lao dong CB 2005 (1) | tr.3 | a - Quan hệ lao động | 0.9532</t>
        </is>
      </c>
      <c r="U11" s="6" t="inlineStr">
        <is>
          <t>gemini-3.5-flash-lite</t>
        </is>
      </c>
      <c r="V11" s="6" t="n">
        <v>22.3</v>
      </c>
      <c r="W11" s="7" t="n">
        <v>1</v>
      </c>
      <c r="X11" s="7" t="n">
        <v>1</v>
      </c>
      <c r="Y11" s="6" t="inlineStr">
        <is>
          <t>Yes</t>
        </is>
      </c>
      <c r="Z11" s="6" t="inlineStr">
        <is>
          <t>n/a</t>
        </is>
      </c>
      <c r="AA11" s="6" t="inlineStr">
        <is>
          <t>PASS</t>
        </is>
      </c>
      <c r="AB11" s="6" t="inlineStr"/>
      <c r="AC11" s="6" t="n"/>
      <c r="AD11" s="6">
        <f>IF(AC11="",AA11,AC11)</f>
        <v/>
      </c>
      <c r="AE11" s="6" t="n"/>
      <c r="AF11" s="6" t="n"/>
    </row>
  </sheetData>
  <autoFilter ref="A1:AF11"/>
  <conditionalFormatting sqref="AA2:AA11">
    <cfRule type="cellIs" priority="1" operator="equal" dxfId="0">
      <formula>"PASS"</formula>
    </cfRule>
    <cfRule type="cellIs" priority="2" operator="equal" dxfId="1">
      <formula>"PARTIAL"</formula>
    </cfRule>
    <cfRule type="cellIs" priority="3" operator="equal" dxfId="2">
      <formula>"FAIL"</formula>
    </cfRule>
    <cfRule type="cellIs" priority="4" operator="equal" dxfId="3">
      <formula>"BLOCKED"</formula>
    </cfRule>
  </conditionalFormatting>
  <conditionalFormatting sqref="AC2:AC11">
    <cfRule type="cellIs" priority="5" operator="equal" dxfId="0">
      <formula>"PASS"</formula>
    </cfRule>
    <cfRule type="cellIs" priority="6" operator="equal" dxfId="1">
      <formula>"PARTIAL"</formula>
    </cfRule>
    <cfRule type="cellIs" priority="7" operator="equal" dxfId="2">
      <formula>"FAIL"</formula>
    </cfRule>
    <cfRule type="cellIs" priority="8" operator="equal" dxfId="3">
      <formula>"BLOCKED"</formula>
    </cfRule>
  </conditionalFormatting>
  <conditionalFormatting sqref="AD2:AD11">
    <cfRule type="cellIs" priority="9" operator="equal" dxfId="0">
      <formula>"PASS"</formula>
    </cfRule>
    <cfRule type="cellIs" priority="10" operator="equal" dxfId="1">
      <formula>"PARTIAL"</formula>
    </cfRule>
    <cfRule type="cellIs" priority="11" operator="equal" dxfId="2">
      <formula>"FAIL"</formula>
    </cfRule>
    <cfRule type="cellIs" priority="12" operator="equal" dxfId="3">
      <formula>"BLOCKED"</formula>
    </cfRule>
  </conditionalFormatting>
  <dataValidations count="1">
    <dataValidation sqref="AC2:AC11" showDropDown="0" showInputMessage="0" showErrorMessage="0" allowBlank="1" type="list">
      <formula1>"PASS,PARTIAL,FAIL,BLOCKED"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0" customWidth="1" min="1" max="1"/>
    <col width="12" customWidth="1" min="2" max="2"/>
    <col width="10" customWidth="1" min="3" max="3"/>
    <col width="30" customWidth="1" min="4" max="4"/>
    <col width="45" customWidth="1" min="5" max="5"/>
    <col width="45" customWidth="1" min="6" max="6"/>
    <col width="55" customWidth="1" min="7" max="7"/>
    <col width="35" customWidth="1" min="8" max="8"/>
    <col width="16" customWidth="1" min="9" max="9"/>
  </cols>
  <sheetData>
    <row r="1">
      <c r="A1" s="2" t="inlineStr">
        <is>
          <t>Defect ID</t>
        </is>
      </c>
      <c r="B1" s="2" t="inlineStr">
        <is>
          <t>Test Case</t>
        </is>
      </c>
      <c r="C1" s="2" t="inlineStr">
        <is>
          <t>Severity</t>
        </is>
      </c>
      <c r="D1" s="2" t="inlineStr">
        <is>
          <t>Title</t>
        </is>
      </c>
      <c r="E1" s="2" t="inlineStr">
        <is>
          <t>Steps to reproduce</t>
        </is>
      </c>
      <c r="F1" s="2" t="inlineStr">
        <is>
          <t>Expected</t>
        </is>
      </c>
      <c r="G1" s="2" t="inlineStr">
        <is>
          <t>Actual</t>
        </is>
      </c>
      <c r="H1" s="2" t="inlineStr">
        <is>
          <t>Auto reasons</t>
        </is>
      </c>
      <c r="I1" s="2" t="inlineStr">
        <is>
          <t>Status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110" customWidth="1" min="2" max="2"/>
  </cols>
  <sheetData>
    <row r="1">
      <c r="A1" s="2" t="inlineStr">
        <is>
          <t>Item</t>
        </is>
      </c>
      <c r="B1" s="2" t="inlineStr">
        <is>
          <t>Value</t>
        </is>
      </c>
    </row>
    <row r="2">
      <c r="A2" t="inlineStr">
        <is>
          <t>Report generated</t>
        </is>
      </c>
      <c r="B2" t="inlineStr">
        <is>
          <t>2026-10-21T14:06:38</t>
        </is>
      </c>
    </row>
    <row r="3">
      <c r="A3" t="inlineStr">
        <is>
          <t>Test execution</t>
        </is>
      </c>
      <c r="B3" t="inlineStr">
        <is>
          <t>2026-10-21T14:02:49 → 2026-10-21T14:06:35</t>
        </is>
      </c>
    </row>
    <row r="4">
      <c r="A4" t="inlineStr">
        <is>
          <t>Test file</t>
        </is>
      </c>
      <c r="B4" t="inlineStr">
        <is>
          <t>TC_Smoke.xlsx (sha256 83fee29c7465ad63)</t>
        </is>
      </c>
    </row>
    <row r="5">
      <c r="A5" t="inlineStr">
        <is>
          <t>Test cases</t>
        </is>
      </c>
      <c r="B5" t="n">
        <v>10</v>
      </c>
    </row>
    <row r="6">
      <c r="A6" t="inlineStr">
        <is>
          <t>API</t>
        </is>
      </c>
      <c r="B6" t="inlineStr">
        <is>
          <t>http://127.0.0.1:8001</t>
        </is>
      </c>
    </row>
    <row r="7">
      <c r="A7" t="inlineStr">
        <is>
          <t>LLM provider override</t>
        </is>
      </c>
      <c r="B7" t="inlineStr">
        <is>
          <t>(server default)</t>
        </is>
      </c>
    </row>
    <row r="8">
      <c r="A8" t="inlineStr">
        <is>
          <t>LLM models used (from responses)</t>
        </is>
      </c>
      <c r="B8" t="inlineStr">
        <is>
          <t>gemini-3.5-flash-lite: 10</t>
        </is>
      </c>
    </row>
    <row r="9">
      <c r="A9" t="inlineStr">
        <is>
          <t>Git commit</t>
        </is>
      </c>
      <c r="B9" t="inlineStr">
        <is>
          <t>b1b412d + 30 uncommitted file(s) in src/, frontend/src, evaluation/</t>
        </is>
      </c>
    </row>
    <row r="10">
      <c r="A10" t="inlineStr">
        <is>
          <t>Indexed documents</t>
        </is>
      </c>
      <c r="B10" t="n">
        <v>5</v>
      </c>
    </row>
    <row r="11">
      <c r="A11" t="inlineStr">
        <is>
          <t>Pages / elements / chunks / vectors</t>
        </is>
      </c>
      <c r="B11" t="inlineStr">
        <is>
          <t>1428 / 21527 / 4654 / 4654</t>
        </is>
      </c>
    </row>
    <row r="12">
      <c r="A12" t="inlineStr">
        <is>
          <t>Embedding model / device</t>
        </is>
      </c>
      <c r="B12" t="inlineStr">
        <is>
          <t>BAAI/bge-m3 / cpu</t>
        </is>
      </c>
    </row>
    <row r="13">
      <c r="A13" t="inlineStr">
        <is>
          <t>config EMBEDDING_MODEL</t>
        </is>
      </c>
      <c r="B13" t="inlineStr">
        <is>
          <t>(default)</t>
        </is>
      </c>
    </row>
    <row r="14">
      <c r="A14" t="inlineStr">
        <is>
          <t>config RERANKER_MODEL</t>
        </is>
      </c>
      <c r="B14" t="inlineStr">
        <is>
          <t>(default)</t>
        </is>
      </c>
    </row>
    <row r="15">
      <c r="A15" t="inlineStr">
        <is>
          <t>config RETRIEVAL_TOP_K</t>
        </is>
      </c>
      <c r="B15" t="inlineStr">
        <is>
          <t>10</t>
        </is>
      </c>
    </row>
    <row r="16">
      <c r="A16" t="inlineStr">
        <is>
          <t>config RERANK_TOP_N</t>
        </is>
      </c>
      <c r="B16" t="inlineStr">
        <is>
          <t>(default)</t>
        </is>
      </c>
    </row>
    <row r="17">
      <c r="A17" t="inlineStr">
        <is>
          <t>config RERANK_THRESHOLD</t>
        </is>
      </c>
      <c r="B17" t="inlineStr">
        <is>
          <t>(default)</t>
        </is>
      </c>
    </row>
    <row r="18">
      <c r="A18" t="inlineStr">
        <is>
          <t>config MAX_CONTEXT_TOKENS</t>
        </is>
      </c>
      <c r="B18" t="inlineStr">
        <is>
          <t>(default)</t>
        </is>
      </c>
    </row>
    <row r="19">
      <c r="A19" t="inlineStr">
        <is>
          <t>config LLM_PROVIDER</t>
        </is>
      </c>
      <c r="B19" t="inlineStr">
        <is>
          <t>gemini</t>
        </is>
      </c>
    </row>
    <row r="20">
      <c r="A20" t="inlineStr">
        <is>
          <t>config LLM_MODEL</t>
        </is>
      </c>
      <c r="B20" t="inlineStr">
        <is>
          <t>gemini-3.6-flash</t>
        </is>
      </c>
    </row>
    <row r="21">
      <c r="A21" t="inlineStr">
        <is>
          <t>config GEMINI_MODEL</t>
        </is>
      </c>
      <c r="B21" t="inlineStr">
        <is>
          <t>gemini-3.5-flash-lite</t>
        </is>
      </c>
    </row>
    <row r="22">
      <c r="A22" t="inlineStr">
        <is>
          <t>config OPENAI_MODEL</t>
        </is>
      </c>
      <c r="B22" t="inlineStr">
        <is>
          <t>(default)</t>
        </is>
      </c>
    </row>
    <row r="23">
      <c r="A23" t="inlineStr">
        <is>
          <t>config OLLAMA_MODEL</t>
        </is>
      </c>
      <c r="B23" t="inlineStr">
        <is>
          <t>(default)</t>
        </is>
      </c>
    </row>
    <row r="24">
      <c r="A24" t="inlineStr">
        <is>
          <t>config PREFERRED_SOURCES</t>
        </is>
      </c>
      <c r="B24" t="inlineStr">
        <is>
          <t>Văn-bản-hợp-nhất-18-VBHN-VPQH.pdf</t>
        </is>
      </c>
    </row>
    <row r="25">
      <c r="A25" t="inlineStr">
        <is>
          <t>config TORCH_DEVICE</t>
        </is>
      </c>
      <c r="B25" t="inlineStr">
        <is>
          <t>(default)</t>
        </is>
      </c>
    </row>
    <row r="26">
      <c r="A26" t="inlineStr">
        <is>
          <t>Group → document</t>
        </is>
      </c>
      <c r="B26" t="inlineStr">
        <is>
          <t>A: giao trinh Luat lao dong CB 2005 (1).pdf; B: so-tay-kien-thuc-phap-luat-lao-dong-cdi.pdf; C: luu-ban-nhap-tu-dong-3-4.pdf; D: ILO-VCCI_Labour-Law-Guide-Book-V04-Final.pdf; E: Văn-bản-hợp-nhất-18-VBHN-VPQH.pdf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2026-10-21T07:06:37Z</dcterms:created>
  <dcterms:modified xmlns:dcterms="http://purl.org/dc/terms/" xmlns:xsi="http://www.w3.org/2001/XMLSchema-instance" xsi:type="dcterms:W3CDTF">2026-10-21T07:06:38Z</dcterms:modified>
</cp:coreProperties>
</file>