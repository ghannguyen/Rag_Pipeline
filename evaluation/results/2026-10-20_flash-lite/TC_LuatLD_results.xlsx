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 xmlns:r="http://schemas.openxmlformats.org/officeDocument/2006/relationships" name="Regression" sheetId="4" state="visible" r:id="rId4"/>
    <sheet xmlns:r="http://schemas.openxmlformats.org/officeDocument/2006/relationships" name="Defects" sheetId="5" state="visible" r:id="rId5"/>
    <sheet xmlns:r="http://schemas.openxmlformats.org/officeDocument/2006/relationships" name="Environment" sheetId="6" state="visible" r:id="rId6"/>
    <sheet xmlns:r="http://schemas.openxmlformats.org/officeDocument/2006/relationships" name="Recall@5" sheetId="7" state="visible" r:id="rId7"/>
    <sheet xmlns:r="http://schemas.openxmlformats.org/officeDocument/2006/relationships" name="RAGAS" sheetId="8" state="visible" r:id="rId8"/>
    <sheet xmlns:r="http://schemas.openxmlformats.org/officeDocument/2006/relationships" name="Failure Analysis" sheetId="9" state="visible" r:id="rId9"/>
    <sheet xmlns:r="http://schemas.openxmlformats.org/officeDocument/2006/relationships" name="API Tests" sheetId="10" state="visible" r:id="rId10"/>
    <sheet xmlns:r="http://schemas.openxmlformats.org/officeDocument/2006/relationships" name="Static Checks" sheetId="11" state="visible" r:id="rId11"/>
  </sheets>
  <definedNames>
    <definedName name="_xlnm._FilterDatabase" localSheetId="1" hidden="1">'Results'!$A$1:$AC$101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color rgb="00FFFFFF"/>
    </font>
    <font>
      <b val="1"/>
      <sz val="14"/>
    </font>
    <font>
      <b val="1"/>
    </font>
    <font>
      <b val="1"/>
      <sz val="13"/>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11">
    <xf numFmtId="0" fontId="0" fillId="0" borderId="0" pivotButton="0" quotePrefix="0" xfId="0"/>
    <xf numFmtId="0" fontId="2" fillId="0" borderId="0" pivotButton="0" quotePrefix="0" xfId="0"/>
    <xf numFmtId="0" fontId="1" fillId="2" borderId="0" applyAlignment="1" pivotButton="0" quotePrefix="0" xfId="0">
      <alignment vertical="center" wrapText="1"/>
    </xf>
    <xf numFmtId="164" fontId="0" fillId="0" borderId="0" pivotButton="0" quotePrefix="0" xfId="0"/>
    <xf numFmtId="0" fontId="3" fillId="0" borderId="0" pivotButton="0" quotePrefix="0" xfId="0"/>
    <xf numFmtId="9" fontId="0" fillId="0" borderId="0" pivotButton="0" quotePrefix="0" xfId="0"/>
    <xf numFmtId="0" fontId="0" fillId="0" borderId="0" applyAlignment="1" pivotButton="0" quotePrefix="0" xfId="0">
      <alignment vertical="top" wrapText="1"/>
    </xf>
    <xf numFmtId="9" fontId="0" fillId="0" borderId="0" applyAlignment="1" pivotButton="0" quotePrefix="0" xfId="0">
      <alignment vertical="top" wrapText="1"/>
    </xf>
    <xf numFmtId="0" fontId="4" fillId="0" borderId="0" pivotButton="0" quotePrefix="0" xfId="0"/>
    <xf numFmtId="2" fontId="0" fillId="0" borderId="0" pivotButton="0" quotePrefix="0" xfId="0"/>
    <xf numFmtId="164" fontId="0" fillId="0" borderId="0" applyAlignment="1" pivotButton="0" quotePrefix="0" xfId="0">
      <alignment vertical="top" wrapText="1"/>
    </xf>
  </cellXfs>
  <cellStyles count="1">
    <cellStyle name="Normal" xfId="0" builtinId="0" hidden="0"/>
  </cellStyles>
  <dxfs count="4">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48" customWidth="1" min="1" max="1"/>
    <col width="11" customWidth="1" min="2" max="2"/>
    <col width="11" customWidth="1" min="3" max="3"/>
    <col width="11" customWidth="1" min="4" max="4"/>
    <col width="11" customWidth="1" min="5" max="5"/>
    <col width="11" customWidth="1" min="6" max="6"/>
    <col width="11" customWidth="1" min="7" max="7"/>
    <col width="11" customWidth="1" min="8" max="8"/>
  </cols>
  <sheetData>
    <row r="1">
      <c r="A1" s="1" t="inlineStr">
        <is>
          <t>TC_LuatLD — Test Summary</t>
        </is>
      </c>
    </row>
    <row r="2">
      <c r="A2" t="inlineStr">
        <is>
          <t>Effective Status = Final Status (tester) nếu đã điền, nếu không = Suggested Status (tự động).</t>
        </is>
      </c>
    </row>
    <row r="4">
      <c r="A4" s="2" t="inlineStr">
        <is>
          <t>Status</t>
        </is>
      </c>
      <c r="B4" s="2" t="inlineStr">
        <is>
          <t>Count</t>
        </is>
      </c>
      <c r="C4" s="2" t="inlineStr">
        <is>
          <t>Rate</t>
        </is>
      </c>
    </row>
    <row r="5">
      <c r="A5" t="inlineStr">
        <is>
          <t>PASS</t>
        </is>
      </c>
      <c r="B5">
        <f>COUNTIF(Results!$AA$2:$AA$101,"PASS")</f>
        <v/>
      </c>
      <c r="C5" s="3">
        <f>B5/100</f>
        <v/>
      </c>
    </row>
    <row r="6">
      <c r="A6" t="inlineStr">
        <is>
          <t>PARTIAL</t>
        </is>
      </c>
      <c r="B6">
        <f>COUNTIF(Results!$AA$2:$AA$101,"PARTIAL")</f>
        <v/>
      </c>
      <c r="C6" s="3">
        <f>B6/100</f>
        <v/>
      </c>
    </row>
    <row r="7">
      <c r="A7" t="inlineStr">
        <is>
          <t>FAIL</t>
        </is>
      </c>
      <c r="B7">
        <f>COUNTIF(Results!$AA$2:$AA$101,"FAIL")</f>
        <v/>
      </c>
      <c r="C7" s="3">
        <f>B7/100</f>
        <v/>
      </c>
    </row>
    <row r="8">
      <c r="A8" t="inlineStr">
        <is>
          <t>BLOCKED</t>
        </is>
      </c>
      <c r="B8">
        <f>COUNTIF(Results!$AA$2:$AA$101,"BLOCKED")</f>
        <v/>
      </c>
      <c r="C8" s="3">
        <f>B8/100</f>
        <v/>
      </c>
    </row>
    <row r="9">
      <c r="A9" t="inlineStr">
        <is>
          <t>Total</t>
        </is>
      </c>
      <c r="B9">
        <f>SUM(B5:B8)</f>
        <v/>
      </c>
    </row>
    <row r="10">
      <c r="A10" t="inlineStr">
        <is>
          <t>Reviewed by tester</t>
        </is>
      </c>
      <c r="B10">
        <f>COUNTA(Results!Z2:Z101)</f>
        <v/>
      </c>
    </row>
    <row r="11">
      <c r="A11" t="inlineStr">
        <is>
          <t>Median latency (s)</t>
        </is>
      </c>
      <c r="B11" t="n">
        <v>18.1</v>
      </c>
    </row>
    <row r="13">
      <c r="A13" s="4" t="inlineStr">
        <is>
          <t>Theo tài liệu</t>
        </is>
      </c>
    </row>
    <row r="14">
      <c r="A14" s="2" t="inlineStr">
        <is>
          <t>Document</t>
        </is>
      </c>
      <c r="B14" s="2" t="inlineStr">
        <is>
          <t>Total</t>
        </is>
      </c>
      <c r="C14" s="2" t="inlineStr">
        <is>
          <t>PASS</t>
        </is>
      </c>
      <c r="D14" s="2" t="inlineStr">
        <is>
          <t>PARTIAL</t>
        </is>
      </c>
      <c r="E14" s="2" t="inlineStr">
        <is>
          <t>FAIL</t>
        </is>
      </c>
      <c r="F14" s="2" t="inlineStr">
        <is>
          <t>BLOCKED</t>
        </is>
      </c>
      <c r="G14" s="2" t="inlineStr">
        <is>
          <t>Pass rate</t>
        </is>
      </c>
    </row>
    <row r="15">
      <c r="A15" t="inlineStr">
        <is>
          <t>giao trinh Luat lao dong CB 2005 (1)</t>
        </is>
      </c>
      <c r="B15">
        <f>COUNTIF(Results!$N$2:$N$101,A15)</f>
        <v/>
      </c>
      <c r="C15">
        <f>COUNTIFS(Results!$N$2:$N$101,A15,Results!$AA$2:$AA$101,"PASS")</f>
        <v/>
      </c>
      <c r="D15">
        <f>COUNTIFS(Results!$N$2:$N$101,A15,Results!$AA$2:$AA$101,"PARTIAL")</f>
        <v/>
      </c>
      <c r="E15">
        <f>COUNTIFS(Results!$N$2:$N$101,A15,Results!$AA$2:$AA$101,"FAIL")</f>
        <v/>
      </c>
      <c r="F15">
        <f>COUNTIFS(Results!$N$2:$N$101,A15,Results!$AA$2:$AA$101,"BLOCKED")</f>
        <v/>
      </c>
      <c r="G15">
        <f>IF(B15=0,0,C15/B15)</f>
        <v/>
      </c>
      <c r="H15" s="5" t="n"/>
    </row>
    <row r="16">
      <c r="A16" t="inlineStr">
        <is>
          <t>so-tay-kien-thuc-phap-luat-lao-dong-cdi</t>
        </is>
      </c>
      <c r="B16">
        <f>COUNTIF(Results!$N$2:$N$101,A16)</f>
        <v/>
      </c>
      <c r="C16">
        <f>COUNTIFS(Results!$N$2:$N$101,A16,Results!$AA$2:$AA$101,"PASS")</f>
        <v/>
      </c>
      <c r="D16">
        <f>COUNTIFS(Results!$N$2:$N$101,A16,Results!$AA$2:$AA$101,"PARTIAL")</f>
        <v/>
      </c>
      <c r="E16">
        <f>COUNTIFS(Results!$N$2:$N$101,A16,Results!$AA$2:$AA$101,"FAIL")</f>
        <v/>
      </c>
      <c r="F16">
        <f>COUNTIFS(Results!$N$2:$N$101,A16,Results!$AA$2:$AA$101,"BLOCKED")</f>
        <v/>
      </c>
      <c r="G16">
        <f>IF(B16=0,0,C16/B16)</f>
        <v/>
      </c>
      <c r="H16" s="5" t="n"/>
    </row>
    <row r="17">
      <c r="A17" t="inlineStr">
        <is>
          <t>luu-ban-nhap-tu-dong-3-4</t>
        </is>
      </c>
      <c r="B17">
        <f>COUNTIF(Results!$N$2:$N$101,A17)</f>
        <v/>
      </c>
      <c r="C17">
        <f>COUNTIFS(Results!$N$2:$N$101,A17,Results!$AA$2:$AA$101,"PASS")</f>
        <v/>
      </c>
      <c r="D17">
        <f>COUNTIFS(Results!$N$2:$N$101,A17,Results!$AA$2:$AA$101,"PARTIAL")</f>
        <v/>
      </c>
      <c r="E17">
        <f>COUNTIFS(Results!$N$2:$N$101,A17,Results!$AA$2:$AA$101,"FAIL")</f>
        <v/>
      </c>
      <c r="F17">
        <f>COUNTIFS(Results!$N$2:$N$101,A17,Results!$AA$2:$AA$101,"BLOCKED")</f>
        <v/>
      </c>
      <c r="G17">
        <f>IF(B17=0,0,C17/B17)</f>
        <v/>
      </c>
      <c r="H17" s="5" t="n"/>
    </row>
    <row r="18">
      <c r="A18" t="inlineStr">
        <is>
          <t>ILO-VCCI_Labour-Law-Guide-Book-V04-Final</t>
        </is>
      </c>
      <c r="B18">
        <f>COUNTIF(Results!$N$2:$N$101,A18)</f>
        <v/>
      </c>
      <c r="C18">
        <f>COUNTIFS(Results!$N$2:$N$101,A18,Results!$AA$2:$AA$101,"PASS")</f>
        <v/>
      </c>
      <c r="D18">
        <f>COUNTIFS(Results!$N$2:$N$101,A18,Results!$AA$2:$AA$101,"PARTIAL")</f>
        <v/>
      </c>
      <c r="E18">
        <f>COUNTIFS(Results!$N$2:$N$101,A18,Results!$AA$2:$AA$101,"FAIL")</f>
        <v/>
      </c>
      <c r="F18">
        <f>COUNTIFS(Results!$N$2:$N$101,A18,Results!$AA$2:$AA$101,"BLOCKED")</f>
        <v/>
      </c>
      <c r="G18">
        <f>IF(B18=0,0,C18/B18)</f>
        <v/>
      </c>
      <c r="H18" s="5" t="n"/>
    </row>
    <row r="19">
      <c r="A19" t="inlineStr">
        <is>
          <t>Văn-bản-hợp-nhất-18-VBHN-VPQH</t>
        </is>
      </c>
      <c r="B19">
        <f>COUNTIF(Results!$N$2:$N$101,A19)</f>
        <v/>
      </c>
      <c r="C19">
        <f>COUNTIFS(Results!$N$2:$N$101,A19,Results!$AA$2:$AA$101,"PASS")</f>
        <v/>
      </c>
      <c r="D19">
        <f>COUNTIFS(Results!$N$2:$N$101,A19,Results!$AA$2:$AA$101,"PARTIAL")</f>
        <v/>
      </c>
      <c r="E19">
        <f>COUNTIFS(Results!$N$2:$N$101,A19,Results!$AA$2:$AA$101,"FAIL")</f>
        <v/>
      </c>
      <c r="F19">
        <f>COUNTIFS(Results!$N$2:$N$101,A19,Results!$AA$2:$AA$101,"BLOCKED")</f>
        <v/>
      </c>
      <c r="G19">
        <f>IF(B19=0,0,C19/B19)</f>
        <v/>
      </c>
      <c r="H19" s="5" t="n"/>
    </row>
    <row r="21">
      <c r="A21" s="4" t="inlineStr">
        <is>
          <t>Theo độ khó</t>
        </is>
      </c>
    </row>
    <row r="22">
      <c r="A22" s="2" t="inlineStr">
        <is>
          <t>Retrieval Difficulty</t>
        </is>
      </c>
      <c r="B22" s="2" t="inlineStr">
        <is>
          <t>Total</t>
        </is>
      </c>
      <c r="C22" s="2" t="inlineStr">
        <is>
          <t>PASS</t>
        </is>
      </c>
      <c r="D22" s="2" t="inlineStr">
        <is>
          <t>PARTIAL</t>
        </is>
      </c>
      <c r="E22" s="2" t="inlineStr">
        <is>
          <t>FAIL</t>
        </is>
      </c>
      <c r="F22" s="2" t="inlineStr">
        <is>
          <t>BLOCKED</t>
        </is>
      </c>
      <c r="G22" s="2" t="inlineStr">
        <is>
          <t>Pass rate</t>
        </is>
      </c>
      <c r="H22" s="2" t="n"/>
    </row>
    <row r="23">
      <c r="A23" t="inlineStr">
        <is>
          <t>Easy</t>
        </is>
      </c>
      <c r="B23">
        <f>COUNTIF(Results!$I$2:$I$101,A23)</f>
        <v/>
      </c>
      <c r="C23">
        <f>COUNTIFS(Results!$I$2:$I$101,A23,Results!$AA$2:$AA$101,"PASS")</f>
        <v/>
      </c>
      <c r="D23">
        <f>COUNTIFS(Results!$I$2:$I$101,A23,Results!$AA$2:$AA$101,"PARTIAL")</f>
        <v/>
      </c>
      <c r="E23">
        <f>COUNTIFS(Results!$I$2:$I$101,A23,Results!$AA$2:$AA$101,"FAIL")</f>
        <v/>
      </c>
      <c r="F23">
        <f>COUNTIFS(Results!$I$2:$I$101,A23,Results!$AA$2:$AA$101,"BLOCKED")</f>
        <v/>
      </c>
      <c r="G23">
        <f>IF(B23=0,0,C23/B23)</f>
        <v/>
      </c>
      <c r="H23" s="5" t="n"/>
    </row>
    <row r="24">
      <c r="A24" t="inlineStr">
        <is>
          <t>Medium</t>
        </is>
      </c>
      <c r="B24">
        <f>COUNTIF(Results!$I$2:$I$101,A24)</f>
        <v/>
      </c>
      <c r="C24">
        <f>COUNTIFS(Results!$I$2:$I$101,A24,Results!$AA$2:$AA$101,"PASS")</f>
        <v/>
      </c>
      <c r="D24">
        <f>COUNTIFS(Results!$I$2:$I$101,A24,Results!$AA$2:$AA$101,"PARTIAL")</f>
        <v/>
      </c>
      <c r="E24">
        <f>COUNTIFS(Results!$I$2:$I$101,A24,Results!$AA$2:$AA$101,"FAIL")</f>
        <v/>
      </c>
      <c r="F24">
        <f>COUNTIFS(Results!$I$2:$I$101,A24,Results!$AA$2:$AA$101,"BLOCKED")</f>
        <v/>
      </c>
      <c r="G24">
        <f>IF(B24=0,0,C24/B24)</f>
        <v/>
      </c>
      <c r="H24" s="5" t="n"/>
    </row>
    <row r="25">
      <c r="A25" t="inlineStr">
        <is>
          <t>Hard</t>
        </is>
      </c>
      <c r="B25">
        <f>COUNTIF(Results!$I$2:$I$101,A25)</f>
        <v/>
      </c>
      <c r="C25">
        <f>COUNTIFS(Results!$I$2:$I$101,A25,Results!$AA$2:$AA$101,"PASS")</f>
        <v/>
      </c>
      <c r="D25">
        <f>COUNTIFS(Results!$I$2:$I$101,A25,Results!$AA$2:$AA$101,"PARTIAL")</f>
        <v/>
      </c>
      <c r="E25">
        <f>COUNTIFS(Results!$I$2:$I$101,A25,Results!$AA$2:$AA$101,"FAIL")</f>
        <v/>
      </c>
      <c r="F25">
        <f>COUNTIFS(Results!$I$2:$I$101,A25,Results!$AA$2:$AA$101,"BLOCKED")</f>
        <v/>
      </c>
      <c r="G25">
        <f>IF(B25=0,0,C25/B25)</f>
        <v/>
      </c>
      <c r="H25" s="5" t="n"/>
    </row>
    <row r="27">
      <c r="A27" s="4" t="inlineStr">
        <is>
          <t>Theo loại câu hỏi</t>
        </is>
      </c>
    </row>
    <row r="28">
      <c r="A28" s="2" t="inlineStr">
        <is>
          <t>Category</t>
        </is>
      </c>
      <c r="B28" s="2" t="inlineStr">
        <is>
          <t>Total</t>
        </is>
      </c>
      <c r="C28" s="2" t="inlineStr">
        <is>
          <t>PASS</t>
        </is>
      </c>
      <c r="D28" s="2" t="inlineStr">
        <is>
          <t>PARTIAL</t>
        </is>
      </c>
      <c r="E28" s="2" t="inlineStr">
        <is>
          <t>FAIL</t>
        </is>
      </c>
      <c r="F28" s="2" t="inlineStr">
        <is>
          <t>BLOCKED</t>
        </is>
      </c>
      <c r="G28" s="2" t="inlineStr">
        <is>
          <t>Pass rate</t>
        </is>
      </c>
      <c r="H28" s="2" t="n"/>
    </row>
    <row r="29">
      <c r="A29" t="inlineStr">
        <is>
          <t>Definition</t>
        </is>
      </c>
      <c r="B29">
        <f>COUNTIF(Results!$B$2:$B$101,A29)</f>
        <v/>
      </c>
      <c r="C29">
        <f>COUNTIFS(Results!$B$2:$B$101,A29,Results!$AA$2:$AA$101,"PASS")</f>
        <v/>
      </c>
      <c r="D29">
        <f>COUNTIFS(Results!$B$2:$B$101,A29,Results!$AA$2:$AA$101,"PARTIAL")</f>
        <v/>
      </c>
      <c r="E29">
        <f>COUNTIFS(Results!$B$2:$B$101,A29,Results!$AA$2:$AA$101,"FAIL")</f>
        <v/>
      </c>
      <c r="F29">
        <f>COUNTIFS(Results!$B$2:$B$101,A29,Results!$AA$2:$AA$101,"BLOCKED")</f>
        <v/>
      </c>
      <c r="G29">
        <f>IF(B29=0,0,C29/B29)</f>
        <v/>
      </c>
      <c r="H29" s="5" t="n"/>
    </row>
    <row r="30">
      <c r="A30" t="inlineStr">
        <is>
          <t>List</t>
        </is>
      </c>
      <c r="B30">
        <f>COUNTIF(Results!$B$2:$B$101,A30)</f>
        <v/>
      </c>
      <c r="C30">
        <f>COUNTIFS(Results!$B$2:$B$101,A30,Results!$AA$2:$AA$101,"PASS")</f>
        <v/>
      </c>
      <c r="D30">
        <f>COUNTIFS(Results!$B$2:$B$101,A30,Results!$AA$2:$AA$101,"PARTIAL")</f>
        <v/>
      </c>
      <c r="E30">
        <f>COUNTIFS(Results!$B$2:$B$101,A30,Results!$AA$2:$AA$101,"FAIL")</f>
        <v/>
      </c>
      <c r="F30">
        <f>COUNTIFS(Results!$B$2:$B$101,A30,Results!$AA$2:$AA$101,"BLOCKED")</f>
        <v/>
      </c>
      <c r="G30">
        <f>IF(B30=0,0,C30/B30)</f>
        <v/>
      </c>
      <c r="H30" s="5" t="n"/>
    </row>
    <row r="31">
      <c r="A31" t="inlineStr">
        <is>
          <t>Direct Fact</t>
        </is>
      </c>
      <c r="B31">
        <f>COUNTIF(Results!$B$2:$B$101,A31)</f>
        <v/>
      </c>
      <c r="C31">
        <f>COUNTIFS(Results!$B$2:$B$101,A31,Results!$AA$2:$AA$101,"PASS")</f>
        <v/>
      </c>
      <c r="D31">
        <f>COUNTIFS(Results!$B$2:$B$101,A31,Results!$AA$2:$AA$101,"PARTIAL")</f>
        <v/>
      </c>
      <c r="E31">
        <f>COUNTIFS(Results!$B$2:$B$101,A31,Results!$AA$2:$AA$101,"FAIL")</f>
        <v/>
      </c>
      <c r="F31">
        <f>COUNTIFS(Results!$B$2:$B$101,A31,Results!$AA$2:$AA$101,"BLOCKED")</f>
        <v/>
      </c>
      <c r="G31">
        <f>IF(B31=0,0,C31/B31)</f>
        <v/>
      </c>
      <c r="H31" s="5" t="n"/>
    </row>
    <row r="32">
      <c r="A32" t="inlineStr">
        <is>
          <t>Concept</t>
        </is>
      </c>
      <c r="B32">
        <f>COUNTIF(Results!$B$2:$B$101,A32)</f>
        <v/>
      </c>
      <c r="C32">
        <f>COUNTIFS(Results!$B$2:$B$101,A32,Results!$AA$2:$AA$101,"PASS")</f>
        <v/>
      </c>
      <c r="D32">
        <f>COUNTIFS(Results!$B$2:$B$101,A32,Results!$AA$2:$AA$101,"PARTIAL")</f>
        <v/>
      </c>
      <c r="E32">
        <f>COUNTIFS(Results!$B$2:$B$101,A32,Results!$AA$2:$AA$101,"FAIL")</f>
        <v/>
      </c>
      <c r="F32">
        <f>COUNTIFS(Results!$B$2:$B$101,A32,Results!$AA$2:$AA$101,"BLOCKED")</f>
        <v/>
      </c>
      <c r="G32">
        <f>IF(B32=0,0,C32/B32)</f>
        <v/>
      </c>
      <c r="H32" s="5" t="n"/>
    </row>
    <row r="33">
      <c r="A33" t="inlineStr">
        <is>
          <t>Rule</t>
        </is>
      </c>
      <c r="B33">
        <f>COUNTIF(Results!$B$2:$B$101,A33)</f>
        <v/>
      </c>
      <c r="C33">
        <f>COUNTIFS(Results!$B$2:$B$101,A33,Results!$AA$2:$AA$101,"PASS")</f>
        <v/>
      </c>
      <c r="D33">
        <f>COUNTIFS(Results!$B$2:$B$101,A33,Results!$AA$2:$AA$101,"PARTIAL")</f>
        <v/>
      </c>
      <c r="E33">
        <f>COUNTIFS(Results!$B$2:$B$101,A33,Results!$AA$2:$AA$101,"FAIL")</f>
        <v/>
      </c>
      <c r="F33">
        <f>COUNTIFS(Results!$B$2:$B$101,A33,Results!$AA$2:$AA$101,"BLOCKED")</f>
        <v/>
      </c>
      <c r="G33">
        <f>IF(B33=0,0,C33/B33)</f>
        <v/>
      </c>
      <c r="H33" s="5" t="n"/>
    </row>
    <row r="34">
      <c r="A34" t="inlineStr">
        <is>
          <t>Comparison</t>
        </is>
      </c>
      <c r="B34">
        <f>COUNTIF(Results!$B$2:$B$101,A34)</f>
        <v/>
      </c>
      <c r="C34">
        <f>COUNTIFS(Results!$B$2:$B$101,A34,Results!$AA$2:$AA$101,"PASS")</f>
        <v/>
      </c>
      <c r="D34">
        <f>COUNTIFS(Results!$B$2:$B$101,A34,Results!$AA$2:$AA$101,"PARTIAL")</f>
        <v/>
      </c>
      <c r="E34">
        <f>COUNTIFS(Results!$B$2:$B$101,A34,Results!$AA$2:$AA$101,"FAIL")</f>
        <v/>
      </c>
      <c r="F34">
        <f>COUNTIFS(Results!$B$2:$B$101,A34,Results!$AA$2:$AA$101,"BLOCKED")</f>
        <v/>
      </c>
      <c r="G34">
        <f>IF(B34=0,0,C34/B34)</f>
        <v/>
      </c>
      <c r="H34" s="5" t="n"/>
    </row>
    <row r="35">
      <c r="A35" t="inlineStr">
        <is>
          <t>Scenario-based</t>
        </is>
      </c>
      <c r="B35">
        <f>COUNTIF(Results!$B$2:$B$101,A35)</f>
        <v/>
      </c>
      <c r="C35">
        <f>COUNTIFS(Results!$B$2:$B$101,A35,Results!$AA$2:$AA$101,"PASS")</f>
        <v/>
      </c>
      <c r="D35">
        <f>COUNTIFS(Results!$B$2:$B$101,A35,Results!$AA$2:$AA$101,"PARTIAL")</f>
        <v/>
      </c>
      <c r="E35">
        <f>COUNTIFS(Results!$B$2:$B$101,A35,Results!$AA$2:$AA$101,"FAIL")</f>
        <v/>
      </c>
      <c r="F35">
        <f>COUNTIFS(Results!$B$2:$B$101,A35,Results!$AA$2:$AA$101,"BLOCKED")</f>
        <v/>
      </c>
      <c r="G35">
        <f>IF(B35=0,0,C35/B35)</f>
        <v/>
      </c>
      <c r="H35" s="5" t="n"/>
    </row>
    <row r="36">
      <c r="A36" t="inlineStr">
        <is>
          <t>Multi-hop</t>
        </is>
      </c>
      <c r="B36">
        <f>COUNTIF(Results!$B$2:$B$101,A36)</f>
        <v/>
      </c>
      <c r="C36">
        <f>COUNTIFS(Results!$B$2:$B$101,A36,Results!$AA$2:$AA$101,"PASS")</f>
        <v/>
      </c>
      <c r="D36">
        <f>COUNTIFS(Results!$B$2:$B$101,A36,Results!$AA$2:$AA$101,"PARTIAL")</f>
        <v/>
      </c>
      <c r="E36">
        <f>COUNTIFS(Results!$B$2:$B$101,A36,Results!$AA$2:$AA$101,"FAIL")</f>
        <v/>
      </c>
      <c r="F36">
        <f>COUNTIFS(Results!$B$2:$B$101,A36,Results!$AA$2:$AA$101,"BLOCKED")</f>
        <v/>
      </c>
      <c r="G36">
        <f>IF(B36=0,0,C36/B36)</f>
        <v/>
      </c>
      <c r="H36" s="5" t="n"/>
    </row>
    <row r="37">
      <c r="A37" t="inlineStr">
        <is>
          <t>Source-awareness</t>
        </is>
      </c>
      <c r="B37">
        <f>COUNTIF(Results!$B$2:$B$101,A37)</f>
        <v/>
      </c>
      <c r="C37">
        <f>COUNTIFS(Results!$B$2:$B$101,A37,Results!$AA$2:$AA$101,"PASS")</f>
        <v/>
      </c>
      <c r="D37">
        <f>COUNTIFS(Results!$B$2:$B$101,A37,Results!$AA$2:$AA$101,"PARTIAL")</f>
        <v/>
      </c>
      <c r="E37">
        <f>COUNTIFS(Results!$B$2:$B$101,A37,Results!$AA$2:$AA$101,"FAIL")</f>
        <v/>
      </c>
      <c r="F37">
        <f>COUNTIFS(Results!$B$2:$B$101,A37,Results!$AA$2:$AA$101,"BLOCKED")</f>
        <v/>
      </c>
      <c r="G37">
        <f>IF(B37=0,0,C37/B37)</f>
        <v/>
      </c>
      <c r="H37" s="5" t="n"/>
    </row>
    <row r="38">
      <c r="A38" t="inlineStr">
        <is>
          <t>Synthesis</t>
        </is>
      </c>
      <c r="B38">
        <f>COUNTIF(Results!$B$2:$B$101,A38)</f>
        <v/>
      </c>
      <c r="C38">
        <f>COUNTIFS(Results!$B$2:$B$101,A38,Results!$AA$2:$AA$101,"PASS")</f>
        <v/>
      </c>
      <c r="D38">
        <f>COUNTIFS(Results!$B$2:$B$101,A38,Results!$AA$2:$AA$101,"PARTIAL")</f>
        <v/>
      </c>
      <c r="E38">
        <f>COUNTIFS(Results!$B$2:$B$101,A38,Results!$AA$2:$AA$101,"FAIL")</f>
        <v/>
      </c>
      <c r="F38">
        <f>COUNTIFS(Results!$B$2:$B$101,A38,Results!$AA$2:$AA$101,"BLOCKED")</f>
        <v/>
      </c>
      <c r="G38">
        <f>IF(B38=0,0,C38/B38)</f>
        <v/>
      </c>
      <c r="H38" s="5" t="n"/>
    </row>
    <row r="39">
      <c r="A39" t="inlineStr">
        <is>
          <t>Navigation</t>
        </is>
      </c>
      <c r="B39">
        <f>COUNTIF(Results!$B$2:$B$101,A39)</f>
        <v/>
      </c>
      <c r="C39">
        <f>COUNTIFS(Results!$B$2:$B$101,A39,Results!$AA$2:$AA$101,"PASS")</f>
        <v/>
      </c>
      <c r="D39">
        <f>COUNTIFS(Results!$B$2:$B$101,A39,Results!$AA$2:$AA$101,"PARTIAL")</f>
        <v/>
      </c>
      <c r="E39">
        <f>COUNTIFS(Results!$B$2:$B$101,A39,Results!$AA$2:$AA$101,"FAIL")</f>
        <v/>
      </c>
      <c r="F39">
        <f>COUNTIFS(Results!$B$2:$B$101,A39,Results!$AA$2:$AA$101,"BLOCKED")</f>
        <v/>
      </c>
      <c r="G39">
        <f>IF(B39=0,0,C39/B39)</f>
        <v/>
      </c>
      <c r="H39" s="5" t="n"/>
    </row>
    <row r="40">
      <c r="A40" t="inlineStr">
        <is>
          <t>False Premise</t>
        </is>
      </c>
      <c r="B40">
        <f>COUNTIF(Results!$B$2:$B$101,A40)</f>
        <v/>
      </c>
      <c r="C40">
        <f>COUNTIFS(Results!$B$2:$B$101,A40,Results!$AA$2:$AA$101,"PASS")</f>
        <v/>
      </c>
      <c r="D40">
        <f>COUNTIFS(Results!$B$2:$B$101,A40,Results!$AA$2:$AA$101,"PARTIAL")</f>
        <v/>
      </c>
      <c r="E40">
        <f>COUNTIFS(Results!$B$2:$B$101,A40,Results!$AA$2:$AA$101,"FAIL")</f>
        <v/>
      </c>
      <c r="F40">
        <f>COUNTIFS(Results!$B$2:$B$101,A40,Results!$AA$2:$AA$101,"BLOCKED")</f>
        <v/>
      </c>
      <c r="G40">
        <f>IF(B40=0,0,C40/B40)</f>
        <v/>
      </c>
      <c r="H40" s="5" t="n"/>
    </row>
    <row r="41">
      <c r="A41" t="inlineStr">
        <is>
          <t>Temporal Reasoning</t>
        </is>
      </c>
      <c r="B41">
        <f>COUNTIF(Results!$B$2:$B$101,A41)</f>
        <v/>
      </c>
      <c r="C41">
        <f>COUNTIFS(Results!$B$2:$B$101,A41,Results!$AA$2:$AA$101,"PASS")</f>
        <v/>
      </c>
      <c r="D41">
        <f>COUNTIFS(Results!$B$2:$B$101,A41,Results!$AA$2:$AA$101,"PARTIAL")</f>
        <v/>
      </c>
      <c r="E41">
        <f>COUNTIFS(Results!$B$2:$B$101,A41,Results!$AA$2:$AA$101,"FAIL")</f>
        <v/>
      </c>
      <c r="F41">
        <f>COUNTIFS(Results!$B$2:$B$101,A41,Results!$AA$2:$AA$101,"BLOCKED")</f>
        <v/>
      </c>
      <c r="G41">
        <f>IF(B41=0,0,C41/B41)</f>
        <v/>
      </c>
      <c r="H41" s="5" t="n"/>
    </row>
    <row r="42">
      <c r="A42" t="inlineStr">
        <is>
          <t>Source Selection</t>
        </is>
      </c>
      <c r="B42">
        <f>COUNTIF(Results!$B$2:$B$101,A42)</f>
        <v/>
      </c>
      <c r="C42">
        <f>COUNTIFS(Results!$B$2:$B$101,A42,Results!$AA$2:$AA$101,"PASS")</f>
        <v/>
      </c>
      <c r="D42">
        <f>COUNTIFS(Results!$B$2:$B$101,A42,Results!$AA$2:$AA$101,"PARTIAL")</f>
        <v/>
      </c>
      <c r="E42">
        <f>COUNTIFS(Results!$B$2:$B$101,A42,Results!$AA$2:$AA$101,"FAIL")</f>
        <v/>
      </c>
      <c r="F42">
        <f>COUNTIFS(Results!$B$2:$B$101,A42,Results!$AA$2:$AA$101,"BLOCKED")</f>
        <v/>
      </c>
      <c r="G42">
        <f>IF(B42=0,0,C42/B42)</f>
        <v/>
      </c>
      <c r="H42" s="5" t="n"/>
    </row>
    <row r="43">
      <c r="A43" t="inlineStr">
        <is>
          <t>Multi-document</t>
        </is>
      </c>
      <c r="B43">
        <f>COUNTIF(Results!$B$2:$B$101,A43)</f>
        <v/>
      </c>
      <c r="C43">
        <f>COUNTIFS(Results!$B$2:$B$101,A43,Results!$AA$2:$AA$101,"PASS")</f>
        <v/>
      </c>
      <c r="D43">
        <f>COUNTIFS(Results!$B$2:$B$101,A43,Results!$AA$2:$AA$101,"PARTIAL")</f>
        <v/>
      </c>
      <c r="E43">
        <f>COUNTIFS(Results!$B$2:$B$101,A43,Results!$AA$2:$AA$101,"FAIL")</f>
        <v/>
      </c>
      <c r="F43">
        <f>COUNTIFS(Results!$B$2:$B$101,A43,Results!$AA$2:$AA$101,"BLOCKED")</f>
        <v/>
      </c>
      <c r="G43">
        <f>IF(B43=0,0,C43/B43)</f>
        <v/>
      </c>
      <c r="H43" s="5" t="n"/>
    </row>
    <row r="44">
      <c r="A44" t="inlineStr">
        <is>
          <t>Scope</t>
        </is>
      </c>
      <c r="B44">
        <f>COUNTIF(Results!$B$2:$B$101,A44)</f>
        <v/>
      </c>
      <c r="C44">
        <f>COUNTIFS(Results!$B$2:$B$101,A44,Results!$AA$2:$AA$101,"PASS")</f>
        <v/>
      </c>
      <c r="D44">
        <f>COUNTIFS(Results!$B$2:$B$101,A44,Results!$AA$2:$AA$101,"PARTIAL")</f>
        <v/>
      </c>
      <c r="E44">
        <f>COUNTIFS(Results!$B$2:$B$101,A44,Results!$AA$2:$AA$101,"FAIL")</f>
        <v/>
      </c>
      <c r="F44">
        <f>COUNTIFS(Results!$B$2:$B$101,A44,Results!$AA$2:$AA$101,"BLOCKED")</f>
        <v/>
      </c>
      <c r="G44">
        <f>IF(B44=0,0,C44/B44)</f>
        <v/>
      </c>
      <c r="H44" s="5" t="n"/>
    </row>
    <row r="45">
      <c r="A45" t="inlineStr">
        <is>
          <t>Procedure</t>
        </is>
      </c>
      <c r="B45">
        <f>COUNTIF(Results!$B$2:$B$101,A45)</f>
        <v/>
      </c>
      <c r="C45">
        <f>COUNTIFS(Results!$B$2:$B$101,A45,Results!$AA$2:$AA$101,"PASS")</f>
        <v/>
      </c>
      <c r="D45">
        <f>COUNTIFS(Results!$B$2:$B$101,A45,Results!$AA$2:$AA$101,"PARTIAL")</f>
        <v/>
      </c>
      <c r="E45">
        <f>COUNTIFS(Results!$B$2:$B$101,A45,Results!$AA$2:$AA$101,"FAIL")</f>
        <v/>
      </c>
      <c r="F45">
        <f>COUNTIFS(Results!$B$2:$B$101,A45,Results!$AA$2:$AA$101,"BLOCKED")</f>
        <v/>
      </c>
      <c r="G45">
        <f>IF(B45=0,0,C45/B45)</f>
        <v/>
      </c>
      <c r="H45"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45" customWidth="1" min="3" max="3"/>
    <col width="45" customWidth="1" min="4" max="4"/>
    <col width="35" customWidth="1" min="5" max="5"/>
    <col width="14" customWidth="1" min="6" max="6"/>
    <col width="14" customWidth="1" min="7" max="7"/>
    <col width="25" customWidth="1" min="8" max="8"/>
    <col width="14" customWidth="1" min="9" max="9"/>
    <col width="14" customWidth="1" min="10" max="10"/>
    <col width="14" customWidth="1" min="11" max="11"/>
    <col width="14" customWidth="1" min="12" max="12"/>
    <col width="14" customWidth="1" min="13" max="13"/>
    <col width="14" customWidth="1" min="14" max="14"/>
    <col width="60" customWidth="1" min="15" max="15"/>
    <col width="45" customWidth="1" min="16" max="16"/>
    <col width="45"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35" customWidth="1" min="25" max="25"/>
    <col width="14" customWidth="1" min="26" max="26"/>
    <col width="14" customWidth="1" min="27" max="27"/>
    <col width="14" customWidth="1" min="28" max="28"/>
    <col width="30" customWidth="1" min="29" max="29"/>
  </cols>
  <sheetData>
    <row r="1">
      <c r="A1" s="2" t="inlineStr">
        <is>
          <t>Test Case ID</t>
        </is>
      </c>
      <c r="B1" s="2" t="inlineStr">
        <is>
          <t>Category</t>
        </is>
      </c>
      <c r="C1" s="2" t="inlineStr">
        <is>
          <t>Query</t>
        </is>
      </c>
      <c r="D1" s="2" t="inlineStr">
        <is>
          <t>Expected Answer</t>
        </is>
      </c>
      <c r="E1" s="2" t="inlineStr">
        <is>
          <t>Evidence</t>
        </is>
      </c>
      <c r="F1" s="2" t="inlineStr">
        <is>
          <t>Source Page</t>
        </is>
      </c>
      <c r="G1" s="2" t="inlineStr">
        <is>
          <t>Source Section</t>
        </is>
      </c>
      <c r="H1" s="2" t="inlineStr">
        <is>
          <t>Required Keywords / Key Concepts</t>
        </is>
      </c>
      <c r="I1" s="2" t="inlineStr">
        <is>
          <t>Retrieval Difficulty</t>
        </is>
      </c>
      <c r="J1" s="2" t="inlineStr">
        <is>
          <t>Expected Retrieval Type</t>
        </is>
      </c>
      <c r="K1" s="2" t="inlineStr">
        <is>
          <t>Is Answerable</t>
        </is>
      </c>
      <c r="L1" s="2" t="inlineStr">
        <is>
          <t>Expected Behavior</t>
        </is>
      </c>
      <c r="M1" s="2" t="inlineStr">
        <is>
          <t>Notes</t>
        </is>
      </c>
      <c r="N1" s="2" t="inlineStr">
        <is>
          <t>Document</t>
        </is>
      </c>
      <c r="O1" s="2" t="inlineStr">
        <is>
          <t>Actual Answer</t>
        </is>
      </c>
      <c r="P1" s="2" t="inlineStr">
        <is>
          <t>Cited Sources</t>
        </is>
      </c>
      <c r="Q1" s="2" t="inlineStr">
        <is>
          <t>Context Sources</t>
        </is>
      </c>
      <c r="R1" s="2" t="inlineStr">
        <is>
          <t>LLM Model</t>
        </is>
      </c>
      <c r="S1" s="2" t="inlineStr">
        <is>
          <t>Latency (s)</t>
        </is>
      </c>
      <c r="T1" s="2" t="inlineStr">
        <is>
          <t>Keyword Coverage</t>
        </is>
      </c>
      <c r="U1" s="2" t="inlineStr">
        <is>
          <t>Expected-Answer Recall</t>
        </is>
      </c>
      <c r="V1" s="2" t="inlineStr">
        <is>
          <t>Cited Expected Doc</t>
        </is>
      </c>
      <c r="W1" s="2" t="inlineStr">
        <is>
          <t>Page Match</t>
        </is>
      </c>
      <c r="X1" s="2" t="inlineStr">
        <is>
          <t>Suggested Status</t>
        </is>
      </c>
      <c r="Y1" s="2" t="inlineStr">
        <is>
          <t>Auto Reasons</t>
        </is>
      </c>
      <c r="Z1" s="2" t="inlineStr">
        <is>
          <t>Final Status</t>
        </is>
      </c>
      <c r="AA1" s="2" t="inlineStr">
        <is>
          <t>Effective Status</t>
        </is>
      </c>
      <c r="AB1" s="2" t="inlineStr">
        <is>
          <t>Defect ID</t>
        </is>
      </c>
      <c r="AC1" s="2" t="inlineStr">
        <is>
          <t>Tester Note</t>
        </is>
      </c>
    </row>
    <row r="2">
      <c r="A2" s="6" t="inlineStr">
        <is>
          <t>LAW_A_001</t>
        </is>
      </c>
      <c r="B2" s="6" t="inlineStr">
        <is>
          <t>Definition</t>
        </is>
      </c>
      <c r="C2" s="6" t="inlineStr">
        <is>
          <t>Theo giáo trình, đối tượng điều chỉnh của Luật lao động gồm những nhóm quan hệ nào?</t>
        </is>
      </c>
      <c r="D2" s="6" t="inlineStr">
        <is>
          <t>Gồm quan hệ lao động và các quan hệ liên quan chặt chẽ hoặc phát sinh từ quan hệ lao động.</t>
        </is>
      </c>
      <c r="E2" s="6" t="inlineStr">
        <is>
          <t>Căn cứ: phần “Bài 1 - Đối tượng điều chỉnh”, trang 3. 
Nội dung được tài liệu xác nhận: Gồm quan hệ lao động và các quan hệ liên quan chặt chẽ hoặc phát sinh từ quan hệ lao động.</t>
        </is>
      </c>
      <c r="F2" s="6" t="n">
        <v>3</v>
      </c>
      <c r="G2" s="6" t="inlineStr">
        <is>
          <t>Bài 1 - Đối tượng điều chỉnh</t>
        </is>
      </c>
      <c r="H2" s="6" t="inlineStr">
        <is>
          <t>quan hệ lao động | quan hệ liên quan</t>
        </is>
      </c>
      <c r="I2" s="6" t="inlineStr">
        <is>
          <t>Easy</t>
        </is>
      </c>
      <c r="J2" s="6" t="inlineStr">
        <is>
          <t>Single Chunk</t>
        </is>
      </c>
      <c r="K2" s="6" t="inlineStr">
        <is>
          <t>Yes</t>
        </is>
      </c>
      <c r="L2" s="6" t="inlineStr">
        <is>
          <t>Answer from document</t>
        </is>
      </c>
      <c r="M2" s="6" t="n"/>
      <c r="N2" s="6" t="inlineStr">
        <is>
          <t>giao trinh Luat lao dong CB 2005 (1)</t>
        </is>
      </c>
      <c r="O2" s="6" t="inlineStr">
        <is>
          <t>Theo giáo trình, đối tượng điều chỉnh của Luật lao động bao gồm hai nhóm quan hệ xã hội [SOURCE_1]:
1. Quan hệ lao động [SOURCE_1].
2. Các quan hệ liên quan đến quan hệ lao động (phát sinh trong quá trình sử dụng lao động) [SOURCE_1].</t>
        </is>
      </c>
      <c r="P2" s="6" t="inlineStr">
        <is>
          <t>[SOURCE_1] giao trinh Luat lao dong CB 2005 (1) | tr.3 | BÀI 1 &gt; KHÁI NIỆM LUẬT LAO ĐỘNG VIỆT NAM &gt; I - ĐỐI TƯỢNG VÀ  | 0.9984</t>
        </is>
      </c>
      <c r="Q2" s="6" t="inlineStr">
        <is>
          <t>[SOURCE_1] giao trinh Luat lao dong CB 2005 (1) | tr.3 | BÀI 1 &gt; KHÁI NIỆM LUẬT LAO ĐỘNG VIỆT NAM &gt; I - ĐỐI TƯỢNG VÀ  | 0.9984
[SOURCE_2] giao trinh Luat lao dong CB 2005 (1) | tr.7 | 2 - Phương pháp điều chỉnh của luật lao động | 0.9587
[SOURCE_3] giao trinh Luat lao dong CB 2005 (1) | tr.7 | (7) - Quan hệ về quản lý lao động | 0.9279
[SOURCE_4] giao trinh Luat lao dong CB 2005 (1) | tr.3 | a - Quan hệ lao động | 0.8305
[SOURCE_5] giao trinh Luat lao dong CB 2005 (1) | tr.6 | (4) Quan hệ về bảo hiểm xã hội | 0.8054</t>
        </is>
      </c>
      <c r="R2" s="6" t="inlineStr">
        <is>
          <t>gemini-3.5-flash-lite</t>
        </is>
      </c>
      <c r="S2" s="6" t="n">
        <v>56.3</v>
      </c>
      <c r="T2" s="7" t="n">
        <v>1</v>
      </c>
      <c r="U2" s="7" t="n">
        <v>0.875</v>
      </c>
      <c r="V2" s="6" t="inlineStr">
        <is>
          <t>Yes</t>
        </is>
      </c>
      <c r="W2" s="6" t="inlineStr">
        <is>
          <t>Yes</t>
        </is>
      </c>
      <c r="X2" s="6" t="inlineStr">
        <is>
          <t>PASS</t>
        </is>
      </c>
      <c r="Y2" s="6" t="inlineStr"/>
      <c r="Z2" s="6" t="inlineStr">
        <is>
          <t>PASS</t>
        </is>
      </c>
      <c r="AA2" s="6">
        <f>IF(Z2="",X2,Z2)</f>
        <v/>
      </c>
      <c r="AB2" s="6" t="n"/>
      <c r="AC2" s="6" t="inlineStr">
        <is>
          <t>[AI] Đồng ý với chấm tự động</t>
        </is>
      </c>
    </row>
    <row r="3">
      <c r="A3" s="6" t="inlineStr">
        <is>
          <t>LAW_A_002</t>
        </is>
      </c>
      <c r="B3" s="6" t="inlineStr">
        <is>
          <t>Definition</t>
        </is>
      </c>
      <c r="C3" s="6" t="inlineStr">
        <is>
          <t>Quan hệ lao động được giáo trình mô tả là gì?</t>
        </is>
      </c>
      <c r="D3" s="6" t="inlineStr">
        <is>
          <t>Là quan hệ giữa con người với con người trong lao động nhằm tạo ra các giá trị vật chất, tinh thần phục vụ bản thân và xã hội.</t>
        </is>
      </c>
      <c r="E3" s="6" t="inlineStr">
        <is>
          <t>Căn cứ: phần “Bài 1 - Quan hệ lao động”, trang 3. 
Nội dung được tài liệu xác nhận: Là quan hệ giữa con người với con người trong lao động nhằm tạo ra các giá trị vật chất, tinh thần phục vụ bản thân và xã hội.</t>
        </is>
      </c>
      <c r="F3" s="6" t="n">
        <v>3</v>
      </c>
      <c r="G3" s="6" t="inlineStr">
        <is>
          <t>Bài 1 - Quan hệ lao động</t>
        </is>
      </c>
      <c r="H3" s="6" t="inlineStr">
        <is>
          <t>lao động | giá trị vật chất | tinh thần</t>
        </is>
      </c>
      <c r="I3" s="6" t="inlineStr">
        <is>
          <t>Easy</t>
        </is>
      </c>
      <c r="J3" s="6" t="inlineStr">
        <is>
          <t>Single Chunk</t>
        </is>
      </c>
      <c r="K3" s="6" t="inlineStr">
        <is>
          <t>Yes</t>
        </is>
      </c>
      <c r="L3" s="6" t="inlineStr">
        <is>
          <t>Answer from document</t>
        </is>
      </c>
      <c r="M3" s="6" t="n"/>
      <c r="N3" s="6" t="inlineStr">
        <is>
          <t>giao trinh Luat lao dong CB 2005 (1)</t>
        </is>
      </c>
      <c r="O3" s="6" t="inlineStr">
        <is>
          <t>Dựa trên tài liệu được cung cấp, quan hệ lao động được mô tả như sau:
* Quan hệ giữa con người với con người trong lao động nhằm tạo ra những giá trị vật chất, tinh thần phục vụ chính bản thân và xã hội được gọi là quan hệ lao động [SOURCE_3].
* Quan hệ lao động là biểu hiện một mặt của quan hệ sản xuất và chịu sự chi phối của quan hệ sở hữu [SOURCE_3]. 
* Ở đâu có tổ chức lao động, có hợp tác và phân công lao động thì ở đó tồn tại quan hệ lao động [SOURCE_3]. Trong nền kinh tế thị trường với sự tham gia của nhiều thành phần kinh tế, các quan hệ lao động ngày càng trở nên đa dạng, phức tạp và đan xen lẫn nhau [SOURCE_3].
* Quan hệ lao động vừa có tính kinh tế, vừa có tính xã hội [SOURCE_1].
* Theo quy định, quan hệ lao động là quan hệ xã hội phát sinh trong việc thuê mướn, sử dụng lao động, trả lương giữa người lao động và người sử dụng lao động [SOURCE_4]. Quan hệ này giữa người lao động hoặc tập thể lao động với người sử dụng lao động được xác lập qua đối thoại, thương lượng, thỏa thuận theo nguyên tắc tự nguyện, thiện chí, bình đẳng, hợp tác, tôn trọng quyền và lợi ích hợp pháp của nhau [SOURCE_5].</t>
        </is>
      </c>
      <c r="P3" s="6" t="inlineStr">
        <is>
          <t>[SOURCE_1] giao trinh Luat lao dong CB 2005 (1) | tr.13 | Giáo trình Luật Lao động cơ bản | 0.9737
[SOURCE_3] giao trinh Luat lao dong CB 2005 (1) | tr.3 | a - Quan hệ lao động | 0.8496
[SOURCE_4] luu-ban-nhap-tu-dong-3-4 | tr.69 | Điều 3. Giải thích từ ngữ ữ | 0.8055
[SOURCE_5] luu-ban-nhap-tu-dong-3-4 | tr.72 | Điều 7. Quan hệ lao động | 0.7175</t>
        </is>
      </c>
      <c r="Q3" s="6" t="inlineStr">
        <is>
          <t>[SOURCE_1] giao trinh Luat lao dong CB 2005 (1) | tr.13 | Giáo trình Luật Lao động cơ bản | 0.9737
[SOURCE_2] giao trinh Luat lao dong CB 2005 (1) | tr.3 | a - Quan hệ lao động | 0.8655
[SOURCE_3] giao trinh Luat lao dong CB 2005 (1) | tr.3 | a - Quan hệ lao động | 0.8496
[SOURCE_4] luu-ban-nhap-tu-dong-3-4 | tr.69 | Điều 3. Giải thích từ ngữ ữ | 0.8055
[SOURCE_5] luu-ban-nhap-tu-dong-3-4 | tr.72 | Điều 7. Quan hệ lao động | 0.7175</t>
        </is>
      </c>
      <c r="R3" s="6" t="inlineStr">
        <is>
          <t>gemini-3.5-flash-lite</t>
        </is>
      </c>
      <c r="S3" s="6" t="n">
        <v>23.3</v>
      </c>
      <c r="T3" s="7" t="n">
        <v>1</v>
      </c>
      <c r="U3" s="7" t="n">
        <v>1</v>
      </c>
      <c r="V3" s="6" t="inlineStr">
        <is>
          <t>Yes</t>
        </is>
      </c>
      <c r="W3" s="6" t="inlineStr">
        <is>
          <t>Yes</t>
        </is>
      </c>
      <c r="X3" s="6" t="inlineStr">
        <is>
          <t>PASS</t>
        </is>
      </c>
      <c r="Y3" s="6" t="inlineStr"/>
      <c r="Z3" s="6" t="inlineStr">
        <is>
          <t>PASS</t>
        </is>
      </c>
      <c r="AA3" s="6">
        <f>IF(Z3="",X3,Z3)</f>
        <v/>
      </c>
      <c r="AB3" s="6" t="n"/>
      <c r="AC3" s="6" t="inlineStr">
        <is>
          <t>[AI] Đồng ý với chấm tự động</t>
        </is>
      </c>
    </row>
    <row r="4">
      <c r="A4" s="6" t="inlineStr">
        <is>
          <t>LAW_A_003</t>
        </is>
      </c>
      <c r="B4" s="6" t="inlineStr">
        <is>
          <t>List</t>
        </is>
      </c>
      <c r="C4" s="6" t="inlineStr">
        <is>
          <t>Giáo trình liệt kê những quan hệ nào liên quan đến quan hệ lao động?</t>
        </is>
      </c>
      <c r="D4" s="6" t="inlineStr">
        <is>
          <t>Gồm quan hệ về việc làm, học nghề, bồi thường thiệt hại, bảo hiểm xã hội, quan hệ với Công đoàn/đại diện tập thể lao động, giải quyết tranh chấp và đình công, và quản lý lao động.</t>
        </is>
      </c>
      <c r="E4" s="6" t="inlineStr">
        <is>
          <t>Căn cứ: phần “Bài 1 - Các quan hệ liên quan”, trang 5. 
Nội dung được tài liệu xác nhận: Gồm quan hệ về việc làm, học nghề, bồi thường thiệt hại, bảo hiểm xã hội, quan hệ với Công đoàn/đại diện tập thể lao động, giải quyết tranh chấp và đình công, và quản lý lao động.</t>
        </is>
      </c>
      <c r="F4" s="6" t="n">
        <v>5</v>
      </c>
      <c r="G4" s="6" t="inlineStr">
        <is>
          <t>Bài 1 - Các quan hệ liên quan</t>
        </is>
      </c>
      <c r="H4" s="6" t="inlineStr">
        <is>
          <t>việc làm | học nghề | bồi thường | BHXH | công đoàn | tranh chấp | quản lý</t>
        </is>
      </c>
      <c r="I4" s="6" t="inlineStr">
        <is>
          <t>Easy</t>
        </is>
      </c>
      <c r="J4" s="6" t="inlineStr">
        <is>
          <t>Single Chunk</t>
        </is>
      </c>
      <c r="K4" s="6" t="inlineStr">
        <is>
          <t>Yes</t>
        </is>
      </c>
      <c r="L4" s="6" t="inlineStr">
        <is>
          <t>Answer from document</t>
        </is>
      </c>
      <c r="M4" s="6" t="n"/>
      <c r="N4" s="6" t="inlineStr">
        <is>
          <t>giao trinh Luat lao dong CB 2005 (1)</t>
        </is>
      </c>
      <c r="O4" s="6" t="inlineStr">
        <is>
          <t>Dựa trên tài liệu được cung cấp, ngoài quan hệ lao động làm công ăn lương là quan hệ chủ yếu, Luật lao động còn điều chỉnh các quan hệ xã hội khác liên quan chặt chẽ với quan hệ lao động bao gồm [SOURCE_1]:
* Quan hệ về việc làm [SOURCE_1]
* Quan hệ học nghề [SOURCE_1]
* Quan hệ về bồi thường thiệt hại [SOURCE_1]
* Quan hệ về bảo hiểm xã hội [SOURCE_1]
* Quan hệ giữa người sử dụng lao động với tổ chức Công đoàn, đại diện của tập thể người lao động [SOURCE_1]
* Quan hệ về giải quyết các tranh chấp lao động và các cuộc đình công [SOURCE_1]
* Quan hệ về quản lý lao động [SOURCE_1]</t>
        </is>
      </c>
      <c r="P4" s="6" t="inlineStr">
        <is>
          <t>[SOURCE_1] giao trinh Luat lao dong CB 2005 (1) | tr.4 | b - Các quan hệ liên quan đến quan hệ lao động | 0.9891</t>
        </is>
      </c>
      <c r="Q4" s="6" t="inlineStr">
        <is>
          <t>[SOURCE_1] giao trinh Luat lao dong CB 2005 (1) | tr.4 | b - Các quan hệ liên quan đến quan hệ lao động | 0.9891
[SOURCE_2] giao trinh Luat lao dong CB 2005 (1) | tr.13 | Giáo trình Luật Lao động cơ bản | 0.9326
[SOURCE_3] giao trinh Luat lao dong CB 2005 (1) | tr.3 | a - Quan hệ lao động | 0.9083
[SOURCE_4] luu-ban-nhap-tu-dong-3-4 | tr.72 | Điều 7. Quan hệ lao động | 0.8941
[SOURCE_5] giao trinh Luat lao dong CB 2005 (1) | tr.3 | a - Quan hệ lao động | 0.891</t>
        </is>
      </c>
      <c r="R4" s="6" t="inlineStr">
        <is>
          <t>gemini-3.5-flash-lite</t>
        </is>
      </c>
      <c r="S4" s="6" t="n">
        <v>20.6</v>
      </c>
      <c r="T4" s="7" t="n">
        <v>1</v>
      </c>
      <c r="U4" s="7" t="n">
        <v>1</v>
      </c>
      <c r="V4" s="6" t="inlineStr">
        <is>
          <t>Yes</t>
        </is>
      </c>
      <c r="W4" s="6" t="inlineStr">
        <is>
          <t>Yes</t>
        </is>
      </c>
      <c r="X4" s="6" t="inlineStr">
        <is>
          <t>PASS</t>
        </is>
      </c>
      <c r="Y4" s="6" t="inlineStr"/>
      <c r="Z4" s="6" t="inlineStr">
        <is>
          <t>PASS</t>
        </is>
      </c>
      <c r="AA4" s="6">
        <f>IF(Z4="",X4,Z4)</f>
        <v/>
      </c>
      <c r="AB4" s="6" t="n"/>
      <c r="AC4" s="6" t="inlineStr">
        <is>
          <t>[AI] Đồng ý với chấm tự động</t>
        </is>
      </c>
    </row>
    <row r="5">
      <c r="A5" s="6" t="inlineStr">
        <is>
          <t>LAW_A_004</t>
        </is>
      </c>
      <c r="B5" s="6" t="inlineStr">
        <is>
          <t>Definition</t>
        </is>
      </c>
      <c r="C5" s="6" t="inlineStr">
        <is>
          <t>Theo giáo trình, quan hệ pháp luật lao động là gì?</t>
        </is>
      </c>
      <c r="D5" s="6" t="inlineStr">
        <is>
          <t>Là các quan hệ phát sinh trong quá trình sử dụng sức lao động, được các quy phạm pháp luật lao động điều chỉnh.</t>
        </is>
      </c>
      <c r="E5" s="6" t="inlineStr">
        <is>
          <t>Căn cứ: phần “Bài 2 - Khái niệm”, trang 14. 
Nội dung được tài liệu xác nhận: Là các quan hệ phát sinh trong quá trình sử dụng sức lao động, được các quy phạm pháp luật lao động điều chỉnh.</t>
        </is>
      </c>
      <c r="F5" s="6" t="n">
        <v>14</v>
      </c>
      <c r="G5" s="6" t="inlineStr">
        <is>
          <t>Bài 2 - Khái niệm</t>
        </is>
      </c>
      <c r="H5" s="6" t="inlineStr">
        <is>
          <t>sử dụng sức lao động | quy phạm pháp luật lao động</t>
        </is>
      </c>
      <c r="I5" s="6" t="inlineStr">
        <is>
          <t>Easy</t>
        </is>
      </c>
      <c r="J5" s="6" t="inlineStr">
        <is>
          <t>Single Chunk</t>
        </is>
      </c>
      <c r="K5" s="6" t="inlineStr">
        <is>
          <t>Yes</t>
        </is>
      </c>
      <c r="L5" s="6" t="inlineStr">
        <is>
          <t>Answer from document</t>
        </is>
      </c>
      <c r="M5" s="6" t="n"/>
      <c r="N5" s="6" t="inlineStr">
        <is>
          <t>giao trinh Luat lao dong CB 2005 (1)</t>
        </is>
      </c>
      <c r="O5" s="6" t="inlineStr">
        <is>
          <t>Dựa trên giáo trình, quan hệ pháp luật lao động là các quan hệ phát sinh trong quá trình sử dụng sức lao động của người lao động ở các cơ quan Nhà nước, các tổ chức, các hợp tác xã, các doanh nghiệp thuộc mọi thành phần kinh tế và các gia đình hay cá nhân có thuê mướn lao động, được các quy phạm pháp luật lao động điều chỉnh [SOURCE_2].</t>
        </is>
      </c>
      <c r="P5" s="6" t="inlineStr">
        <is>
          <t>[SOURCE_2] giao trinh Luat lao dong CB 2005 (1) | tr.14 | BÀI 2 &gt; QUAN HỆ PHÁP LUẬT LAO ĐỘNG &gt; I - KHÁI NIỆM VÀ ĐẶC ĐI | 0.9835</t>
        </is>
      </c>
      <c r="Q5" s="6" t="inlineStr">
        <is>
          <t>[SOURCE_1] giao trinh Luat lao dong CB 2005 (1) | tr.13 | Giáo trình Luật Lao động cơ bản | 0.9936
[SOURCE_2] giao trinh Luat lao dong CB 2005 (1) | tr.14 | BÀI 2 &gt; QUAN HỆ PHÁP LUẬT LAO ĐỘNG &gt; I - KHÁI NIỆM VÀ ĐẶC ĐI | 0.9835
[SOURCE_3] giao trinh Luat lao dong CB 2005 (1) | tr.14 | 2. Đặc điểm của quan hệ pháp luật lao động | 0.9708
[SOURCE_4] giao trinh Luat lao dong CB 2005 (1) | tr.14 | 2. Đặc điểm của quan hệ pháp luật lao động | 0.9608
[SOURCE_5] giao trinh Luat lao dong CB 2005 (1) | tr.18 | 2. Nội dung của quan hệ pháp luật lao động | 0.9575</t>
        </is>
      </c>
      <c r="R5" s="6" t="inlineStr">
        <is>
          <t>gemini-3.5-flash-lite</t>
        </is>
      </c>
      <c r="S5" s="6" t="n">
        <v>14.2</v>
      </c>
      <c r="T5" s="7" t="n">
        <v>1</v>
      </c>
      <c r="U5" s="7" t="n">
        <v>1</v>
      </c>
      <c r="V5" s="6" t="inlineStr">
        <is>
          <t>Yes</t>
        </is>
      </c>
      <c r="W5" s="6" t="inlineStr">
        <is>
          <t>Yes</t>
        </is>
      </c>
      <c r="X5" s="6" t="inlineStr">
        <is>
          <t>PASS</t>
        </is>
      </c>
      <c r="Y5" s="6" t="inlineStr"/>
      <c r="Z5" s="6" t="inlineStr">
        <is>
          <t>PASS</t>
        </is>
      </c>
      <c r="AA5" s="6">
        <f>IF(Z5="",X5,Z5)</f>
        <v/>
      </c>
      <c r="AB5" s="6" t="n"/>
      <c r="AC5" s="6" t="inlineStr">
        <is>
          <t>[AI] Đồng ý với chấm tự động</t>
        </is>
      </c>
    </row>
    <row r="6">
      <c r="A6" s="6" t="inlineStr">
        <is>
          <t>LAW_A_005</t>
        </is>
      </c>
      <c r="B6" s="6" t="inlineStr">
        <is>
          <t>Direct Fact</t>
        </is>
      </c>
      <c r="C6" s="6" t="inlineStr">
        <is>
          <t>Ba loại quan hệ về việc làm chủ yếu được giáo trình nêu là gì?</t>
        </is>
      </c>
      <c r="D6" s="6" t="inlineStr">
        <is>
          <t>Quan hệ bảo đảm việc làm giữa Nhà nước và NLĐ; giữa NSDLĐ và NLĐ; và giữa NLĐ với các trung tâm dịch vụ việc làm.</t>
        </is>
      </c>
      <c r="E6" s="6" t="inlineStr">
        <is>
          <t>Căn cứ: phần “Bài 1 - Quan hệ việc làm”, trang 5. 
Nội dung được tài liệu xác nhận: Quan hệ bảo đảm việc làm giữa Nhà nước và NLĐ; giữa NSDLĐ và NLĐ; và giữa NLĐ với các trung tâm dịch vụ việc làm.</t>
        </is>
      </c>
      <c r="F6" s="6" t="n">
        <v>5</v>
      </c>
      <c r="G6" s="6" t="inlineStr">
        <is>
          <t>Bài 1 - Quan hệ việc làm</t>
        </is>
      </c>
      <c r="H6" s="6" t="inlineStr">
        <is>
          <t>Nhà nước | NSDLĐ | trung tâm dịch vụ việc làm</t>
        </is>
      </c>
      <c r="I6" s="6" t="inlineStr">
        <is>
          <t>Easy</t>
        </is>
      </c>
      <c r="J6" s="6" t="inlineStr">
        <is>
          <t>Single Chunk</t>
        </is>
      </c>
      <c r="K6" s="6" t="inlineStr">
        <is>
          <t>Yes</t>
        </is>
      </c>
      <c r="L6" s="6" t="inlineStr">
        <is>
          <t>Answer from document</t>
        </is>
      </c>
      <c r="M6" s="6" t="n"/>
      <c r="N6" s="6" t="inlineStr">
        <is>
          <t>giao trinh Luat lao dong CB 2005 (1)</t>
        </is>
      </c>
      <c r="O6" s="6" t="inlineStr">
        <is>
          <t>Ba loại quan hệ về việc làm chủ yếu được nêu trong giáo trình bao gồm:
1. Quan hệ về đảm bảo việc làm giữa Nhà nước và người lao động [SOURCE_1].
2. Quan hệ về đảm bảo việc làm giữa người sử dụng lao động và người lao động [SOURCE_1].
3. Quan hệ giữa người lao động và các trung tâm dịch vụ việc làm [SOURCE_1].</t>
        </is>
      </c>
      <c r="P6" s="6" t="inlineStr">
        <is>
          <t>[SOURCE_1] giao trinh Luat lao dong CB 2005 (1) | tr.5 | (1) Quan hệ về việc làm | 0.9905</t>
        </is>
      </c>
      <c r="Q6" s="6" t="inlineStr">
        <is>
          <t>[SOURCE_1] giao trinh Luat lao dong CB 2005 (1) | tr.5 | (1) Quan hệ về việc làm | 0.9905
[SOURCE_2] giao trinh Luat lao dong CB 2005 (1) | tr.4 | b - Các quan hệ liên quan đến quan hệ lao động | 0.5222</t>
        </is>
      </c>
      <c r="R6" s="6" t="inlineStr">
        <is>
          <t>gemini-3.5-flash-lite</t>
        </is>
      </c>
      <c r="S6" s="6" t="n">
        <v>18.6</v>
      </c>
      <c r="T6" s="7" t="n">
        <v>1</v>
      </c>
      <c r="U6" s="7" t="n">
        <v>1</v>
      </c>
      <c r="V6" s="6" t="inlineStr">
        <is>
          <t>Yes</t>
        </is>
      </c>
      <c r="W6" s="6" t="inlineStr">
        <is>
          <t>Yes</t>
        </is>
      </c>
      <c r="X6" s="6" t="inlineStr">
        <is>
          <t>PASS</t>
        </is>
      </c>
      <c r="Y6" s="6" t="inlineStr"/>
      <c r="Z6" s="6" t="inlineStr">
        <is>
          <t>PASS</t>
        </is>
      </c>
      <c r="AA6" s="6">
        <f>IF(Z6="",X6,Z6)</f>
        <v/>
      </c>
      <c r="AB6" s="6" t="n"/>
      <c r="AC6" s="6" t="inlineStr">
        <is>
          <t>[AI] Đồng ý với chấm tự động</t>
        </is>
      </c>
    </row>
    <row r="7">
      <c r="A7" s="6" t="inlineStr">
        <is>
          <t>LAW_A_006</t>
        </is>
      </c>
      <c r="B7" s="6" t="inlineStr">
        <is>
          <t>Concept</t>
        </is>
      </c>
      <c r="C7" s="6" t="inlineStr">
        <is>
          <t>Quan hệ học nghề có thể tồn tại dưới những dạng nào?</t>
        </is>
      </c>
      <c r="D7" s="6" t="inlineStr">
        <is>
          <t>Có thể là quan hệ độc lập hoặc là quan hệ phụ thuộc quan hệ lao động.</t>
        </is>
      </c>
      <c r="E7" s="6" t="inlineStr">
        <is>
          <t>Căn cứ: phần “Bài 1 - Quan hệ học nghề”, trang 5. 
Nội dung được tài liệu xác nhận: Có thể là quan hệ độc lập hoặc là quan hệ phụ thuộc quan hệ lao động.</t>
        </is>
      </c>
      <c r="F7" s="6" t="n">
        <v>5</v>
      </c>
      <c r="G7" s="6" t="inlineStr">
        <is>
          <t>Bài 1 - Quan hệ học nghề</t>
        </is>
      </c>
      <c r="H7" s="6" t="inlineStr">
        <is>
          <t>độc lập | phụ thuộc quan hệ lao động</t>
        </is>
      </c>
      <c r="I7" s="6" t="inlineStr">
        <is>
          <t>Easy</t>
        </is>
      </c>
      <c r="J7" s="6" t="inlineStr">
        <is>
          <t>Single Chunk</t>
        </is>
      </c>
      <c r="K7" s="6" t="inlineStr">
        <is>
          <t>Yes</t>
        </is>
      </c>
      <c r="L7" s="6" t="inlineStr">
        <is>
          <t>Answer from document</t>
        </is>
      </c>
      <c r="M7" s="6" t="n"/>
      <c r="N7" s="6" t="inlineStr">
        <is>
          <t>giao trinh Luat lao dong CB 2005 (1)</t>
        </is>
      </c>
      <c r="O7" s="6" t="inlineStr">
        <is>
          <t>Dựa trên tài liệu được cung cấp, quan hệ học nghề có thể tồn tại dưới hai dạng: vừa có thể là một quan hệ độc lập, vừa có thể là một quan hệ phụ thuộc quan hệ lao động [SOURCE_1].</t>
        </is>
      </c>
      <c r="P7" s="6" t="inlineStr">
        <is>
          <t>[SOURCE_1] giao trinh Luat lao dong CB 2005 (1) | tr.5 | (2) Quan hệ học nghề | 0.8816</t>
        </is>
      </c>
      <c r="Q7" s="6" t="inlineStr">
        <is>
          <t>[SOURCE_1] giao trinh Luat lao dong CB 2005 (1) | tr.5 | (2) Quan hệ học nghề | 0.8816
[SOURCE_2] giao trinh Luat lao dong CB 2005 (1) | tr.5 | (2) Quan hệ học nghề | 0.4338</t>
        </is>
      </c>
      <c r="R7" s="6" t="inlineStr">
        <is>
          <t>gemini-3.5-flash-lite</t>
        </is>
      </c>
      <c r="S7" s="6" t="n">
        <v>18.6</v>
      </c>
      <c r="T7" s="7" t="n">
        <v>1</v>
      </c>
      <c r="U7" s="7" t="n">
        <v>1</v>
      </c>
      <c r="V7" s="6" t="inlineStr">
        <is>
          <t>Yes</t>
        </is>
      </c>
      <c r="W7" s="6" t="inlineStr">
        <is>
          <t>Yes</t>
        </is>
      </c>
      <c r="X7" s="6" t="inlineStr">
        <is>
          <t>PASS</t>
        </is>
      </c>
      <c r="Y7" s="6" t="inlineStr"/>
      <c r="Z7" s="6" t="inlineStr">
        <is>
          <t>PASS</t>
        </is>
      </c>
      <c r="AA7" s="6">
        <f>IF(Z7="",X7,Z7)</f>
        <v/>
      </c>
      <c r="AB7" s="6" t="n"/>
      <c r="AC7" s="6" t="inlineStr">
        <is>
          <t>[AI] Đồng ý với chấm tự động</t>
        </is>
      </c>
    </row>
    <row r="8">
      <c r="A8" s="6" t="inlineStr">
        <is>
          <t>LAW_A_007</t>
        </is>
      </c>
      <c r="B8" s="6" t="inlineStr">
        <is>
          <t>Definition</t>
        </is>
      </c>
      <c r="C8" s="6" t="inlineStr">
        <is>
          <t>Theo giáo trình, tiền lương được nhìn nhận như thế nào trong quan hệ lao động?</t>
        </is>
      </c>
      <c r="D8" s="6" t="inlineStr">
        <is>
          <t>Tiền lương được xem là giá cả của sức lao động và việc trả lương dựa trên thỏa thuận, trong khuôn khổ pháp luật.</t>
        </is>
      </c>
      <c r="E8" s="6" t="inlineStr">
        <is>
          <t>Căn cứ: phần “Bài 1/Bài 6 - Tiền lương”, trang None. 
Nội dung được tài liệu xác nhận: Tiền lương được xem là giá cả của sức lao động và việc trả lương dựa trên thỏa thuận, trong khuôn khổ pháp luật.</t>
        </is>
      </c>
      <c r="F8" s="6" t="n"/>
      <c r="G8" s="6" t="inlineStr">
        <is>
          <t>Bài 1/Bài 6 - Tiền lương</t>
        </is>
      </c>
      <c r="H8" s="6" t="inlineStr">
        <is>
          <t>giá cả sức lao động | thỏa thuận</t>
        </is>
      </c>
      <c r="I8" s="6" t="inlineStr">
        <is>
          <t>Easy</t>
        </is>
      </c>
      <c r="J8" s="6" t="inlineStr">
        <is>
          <t>Single Chunk</t>
        </is>
      </c>
      <c r="K8" s="6" t="inlineStr">
        <is>
          <t>Yes</t>
        </is>
      </c>
      <c r="L8" s="6" t="inlineStr">
        <is>
          <t>Answer from document</t>
        </is>
      </c>
      <c r="M8" s="6" t="n"/>
      <c r="N8" s="6" t="inlineStr">
        <is>
          <t>giao trinh Luat lao dong CB 2005 (1)</t>
        </is>
      </c>
      <c r="O8" s="6" t="inlineStr">
        <is>
          <t>Dựa trên tài liệu được cung cấp, tiền lương được nhìn nhận ở các khía cạnh sau:
* Bên cạnh mục tiêu kinh tế như lợi nhuận, tiền lương là một trong những vấn đề kinh tế gắn liền với mục tiêu xã hội mà Luật Lao động phải giải quyết trong quá trình lao động và ngay tại các doanh nghiệp [SOURCE_1].
* Tiền lương là số lượng tiền tệ mà người sử dụng lao động trả cho người lao động khi người lao động hoàn thành công việc theo chức năng, nhiệm vụ do pháp luật quy định, hoặc do hai bên đã thoả thuận trong hợp đồng lao động [SOURCE_2]. 
* Tiền lương do hai bên thoả thuận trong hợp đồng lao động và được trả theo năng suất lao động, chất lượng và hiệu quả công việc [SOURCE_2]. Mức lương này không được thấp hơn mức lương tối thiểu do Nhà nước quy định [SOURCE_2].
* Lương được trả bằng tiền mặt, hoặc có thể trả một phần bằng séc/ngân phiếu do Nhà nước phát hành nếu hai bên thỏa thuận với điều kiện không gây thiệt hại, phiền hà cho người lao động [SOURCE_2].
* Theo quy định tại Điều 90, tiền lương là số tiền mà người sử dụng lao động trả cho người lao động theo thỏa thuận để thực hiện công việc, bao gồm mức lương theo công việc hoặc chức danh, phụ cấp lương và các khoản bổ sung khác [SOURCE_3]. Trong đó, mức lương theo công việc hoặc chức danh không được thấp hơn mức lương tối thiểu, và người sử dụng lao động phải bảo đảm trả lương bình đẳng, không phân biệt giới tính đối với người lao động làm công việc có giá trị như nhau [SOURCE_3].</t>
        </is>
      </c>
      <c r="P8" s="6" t="inlineStr">
        <is>
          <t>[SOURCE_1] giao trinh Luat lao dong CB 2005 (1) | tr.13 | Giáo trình Luật Lao động cơ bản | 0.7146
[SOURCE_2] giao trinh Luat lao dong CB 2005 (1) | tr.58 | BÀI 6 &gt; TIỀN LƯƠNG &gt; I. KHÁI QUÁT CHUNG VỀ TIỀN LƯƠNG &gt; 1. Đ | 0.4023
[SOURCE_3] luu-ban-nhap-tu-dong-3-4 | tr.31 | Chương VI &gt; Điều 90. Tiền lương | 0.3612</t>
        </is>
      </c>
      <c r="Q8" s="6" t="inlineStr">
        <is>
          <t>[SOURCE_1] giao trinh Luat lao dong CB 2005 (1) | tr.13 | Giáo trình Luật Lao động cơ bản | 0.7146
[SOURCE_2] giao trinh Luat lao dong CB 2005 (1) | tr.58 | BÀI 6 &gt; TIỀN LƯƠNG &gt; I. KHÁI QUÁT CHUNG VỀ TIỀN LƯƠNG &gt; 1. Đ | 0.4023
[SOURCE_3] luu-ban-nhap-tu-dong-3-4 | tr.31 | Chương VI &gt; Điều 90. Tiền lương | 0.3612</t>
        </is>
      </c>
      <c r="R8" s="6" t="inlineStr">
        <is>
          <t>gemini-3.5-flash-lite</t>
        </is>
      </c>
      <c r="S8" s="6" t="n">
        <v>18.8</v>
      </c>
      <c r="T8" s="7" t="n">
        <v>0.5</v>
      </c>
      <c r="U8" s="7" t="n">
        <v>0.7368421052631579</v>
      </c>
      <c r="V8" s="6" t="inlineStr">
        <is>
          <t>Yes</t>
        </is>
      </c>
      <c r="W8" s="6" t="inlineStr">
        <is>
          <t>n/a</t>
        </is>
      </c>
      <c r="X8" s="6" t="inlineStr">
        <is>
          <t>PARTIAL</t>
        </is>
      </c>
      <c r="Y8" s="6" t="inlineStr">
        <is>
          <t>Thiếu từ khóa (50%)</t>
        </is>
      </c>
      <c r="Z8" s="6" t="inlineStr">
        <is>
          <t>PARTIAL</t>
        </is>
      </c>
      <c r="AA8" s="6">
        <f>IF(Z8="",X8,Z8)</f>
        <v/>
      </c>
      <c r="AB8" s="6" t="n"/>
      <c r="AC8" s="6" t="inlineStr">
        <is>
          <t>[AI] Thiếu ý 'tiền lương là giá cả sức lao động'; có ý thỏa thuận và mức tối thiểu</t>
        </is>
      </c>
    </row>
    <row r="9">
      <c r="A9" s="6" t="inlineStr">
        <is>
          <t>LAW_A_008</t>
        </is>
      </c>
      <c r="B9" s="6" t="inlineStr">
        <is>
          <t>Direct Fact</t>
        </is>
      </c>
      <c r="C9" s="6" t="inlineStr">
        <is>
          <t>Theo giáo trình, làm thêm vào ngày thường được trả ít nhất bao nhiêu phần trăm?</t>
        </is>
      </c>
      <c r="D9" s="6" t="inlineStr">
        <is>
          <t>Ít nhất bằng 150% đơn giá tiền lương hoặc tiền lương thực trả của công việc đang làm.</t>
        </is>
      </c>
      <c r="E9" s="6" t="inlineStr">
        <is>
          <t>Căn cứ: phần “Bài 6 - Trả lương làm thêm giờ”, trang 59. 
Nội dung được tài liệu xác nhận: Ít nhất bằng 150% đơn giá tiền lương hoặc tiền lương thực trả của công việc đang làm.</t>
        </is>
      </c>
      <c r="F9" s="6" t="n">
        <v>59</v>
      </c>
      <c r="G9" s="6" t="inlineStr">
        <is>
          <t>Bài 6 - Trả lương làm thêm giờ</t>
        </is>
      </c>
      <c r="H9" s="6" t="inlineStr">
        <is>
          <t>150% | ngày thường</t>
        </is>
      </c>
      <c r="I9" s="6" t="inlineStr">
        <is>
          <t>Medium</t>
        </is>
      </c>
      <c r="J9" s="6" t="inlineStr">
        <is>
          <t>Single Chunk</t>
        </is>
      </c>
      <c r="K9" s="6" t="inlineStr">
        <is>
          <t>Yes</t>
        </is>
      </c>
      <c r="L9" s="6" t="inlineStr">
        <is>
          <t>Answer from document</t>
        </is>
      </c>
      <c r="M9" s="6" t="n"/>
      <c r="N9" s="6" t="inlineStr">
        <is>
          <t>giao trinh Luat lao dong CB 2005 (1)</t>
        </is>
      </c>
      <c r="O9" s="6" t="inlineStr">
        <is>
          <t>Theo tài liệu, người lao động làm thêm giờ vào ngày thường được trả lương ít nhất bằng 150% [SOURCE_1], [SOURCE_2], [SOURCE_3], [SOURCE_4], [SOURCE_5].</t>
        </is>
      </c>
      <c r="P9" s="6" t="inlineStr">
        <is>
          <t>[SOURCE_1] so-tay-kien-thuc-phap-luat-lao-dong-cdi | tr.19 | Trả lời: | 0.9585
[SOURCE_2] giao trinh Luat lao dong CB 2005 (1) | tr.59 | 4. Trả lương khi làm thêm giờ | 0.9547
[SOURCE_3] Văn-bản-hợp-nhất-18-VBHN-VPQH | tr.38 | Điều 98. Tiền lương làm thêm giờ, làm việc vào ban đêm | 0.9278
[SOURCE_4] ILO-VCCI_Labour-Law-Guide-Book-V04-Final | tr.100 | 1. Tiền lương làm thêm giờ225 &gt; (a) Đối với NLĐ hưởng lương  | 0.9243
[SOURCE_5] giao trinh Luat lao dong CB 2005 (1) | tr.80 | · Các điều kiện và nguyên tắc làm thêm đến 300 giờ trong một | 0.8973</t>
        </is>
      </c>
      <c r="Q9" s="6" t="inlineStr">
        <is>
          <t>[SOURCE_1] so-tay-kien-thuc-phap-luat-lao-dong-cdi | tr.19 | Trả lời: | 0.9585
[SOURCE_2] giao trinh Luat lao dong CB 2005 (1) | tr.59 | 4. Trả lương khi làm thêm giờ | 0.9547
[SOURCE_3] Văn-bản-hợp-nhất-18-VBHN-VPQH | tr.38 | Điều 98. Tiền lương làm thêm giờ, làm việc vào ban đêm | 0.9278
[SOURCE_4] ILO-VCCI_Labour-Law-Guide-Book-V04-Final | tr.100 | 1. Tiền lương làm thêm giờ225 &gt; (a) Đối với NLĐ hưởng lương  | 0.9243
[SOURCE_5] giao trinh Luat lao dong CB 2005 (1) | tr.80 | · Các điều kiện và nguyên tắc làm thêm đến 300 giờ trong một | 0.8973</t>
        </is>
      </c>
      <c r="R9" s="6" t="inlineStr">
        <is>
          <t>gemini-3.5-flash-lite</t>
        </is>
      </c>
      <c r="S9" s="6" t="n">
        <v>15.8</v>
      </c>
      <c r="T9" s="7" t="n">
        <v>1</v>
      </c>
      <c r="U9" s="7" t="n">
        <v>0.5333333333333333</v>
      </c>
      <c r="V9" s="6" t="inlineStr">
        <is>
          <t>Yes</t>
        </is>
      </c>
      <c r="W9" s="6" t="inlineStr">
        <is>
          <t>Yes</t>
        </is>
      </c>
      <c r="X9" s="6" t="inlineStr">
        <is>
          <t>PASS</t>
        </is>
      </c>
      <c r="Y9" s="6" t="inlineStr"/>
      <c r="Z9" s="6" t="inlineStr">
        <is>
          <t>PASS</t>
        </is>
      </c>
      <c r="AA9" s="6">
        <f>IF(Z9="",X9,Z9)</f>
        <v/>
      </c>
      <c r="AB9" s="6" t="n"/>
      <c r="AC9" s="6" t="inlineStr">
        <is>
          <t>[AI] Đồng ý với chấm tự động</t>
        </is>
      </c>
    </row>
    <row r="10">
      <c r="A10" s="6" t="inlineStr">
        <is>
          <t>LAW_A_009</t>
        </is>
      </c>
      <c r="B10" s="6" t="inlineStr">
        <is>
          <t>Direct Fact</t>
        </is>
      </c>
      <c r="C10" s="6" t="inlineStr">
        <is>
          <t>Theo giáo trình, làm thêm vào ngày nghỉ hằng tuần được trả ít nhất bao nhiêu?</t>
        </is>
      </c>
      <c r="D10" s="6" t="inlineStr">
        <is>
          <t>Ít nhất bằng 200%.</t>
        </is>
      </c>
      <c r="E10" s="6" t="inlineStr">
        <is>
          <t>Căn cứ: phần “Bài 6 - Trả lương làm thêm giờ”, trang 59. 
Nội dung được tài liệu xác nhận: Ít nhất bằng 200%.</t>
        </is>
      </c>
      <c r="F10" s="6" t="n">
        <v>59</v>
      </c>
      <c r="G10" s="6" t="inlineStr">
        <is>
          <t>Bài 6 - Trả lương làm thêm giờ</t>
        </is>
      </c>
      <c r="H10" s="6" t="inlineStr">
        <is>
          <t>200% | ngày nghỉ hàng tuần</t>
        </is>
      </c>
      <c r="I10" s="6" t="inlineStr">
        <is>
          <t>Medium</t>
        </is>
      </c>
      <c r="J10" s="6" t="inlineStr">
        <is>
          <t>Single Chunk</t>
        </is>
      </c>
      <c r="K10" s="6" t="inlineStr">
        <is>
          <t>Yes</t>
        </is>
      </c>
      <c r="L10" s="6" t="inlineStr">
        <is>
          <t>Answer from document</t>
        </is>
      </c>
      <c r="M10" s="6" t="n"/>
      <c r="N10" s="6" t="inlineStr">
        <is>
          <t>giao trinh Luat lao dong CB 2005 (1)</t>
        </is>
      </c>
      <c r="O10" s="6" t="inlineStr">
        <is>
          <t>Theo tài liệu, người lao động làm thêm giờ vào ngày nghỉ hằng tuần được trả lương tính theo đơn giá tiền lương hoặc tiền lương thực trả (hoặc công việc đang làm) với mức ít nhất bằng 200% [SOURCE_1], [SOURCE_2], [SOURCE_3], [SOURCE_4], [SOURCE_5].</t>
        </is>
      </c>
      <c r="P10" s="6" t="inlineStr">
        <is>
          <t>[SOURCE_1] so-tay-kien-thuc-phap-luat-lao-dong-cdi | tr.19 | Trả lời: | 0.9454
[SOURCE_2] Văn-bản-hợp-nhất-18-VBHN-VPQH | tr.38 | Điều 98. Tiền lương làm thêm giờ, làm việc vào ban đêm | 0.9207
[SOURCE_3] ILO-VCCI_Labour-Law-Guide-Book-V04-Final | tr.100 | 1. Tiền lương làm thêm giờ225 &gt; (a) Đối với NLĐ hưởng lương  | 0.9207
[SOURCE_4] giao trinh Luat lao dong CB 2005 (1) | tr.59 | 4. Trả lương khi làm thêm giờ | 0.9096
[SOURCE_5] giao trinh Luat lao dong CB 2005 (1) | tr.80 | · Các điều kiện và nguyên tắc làm thêm đến 300 giờ trong một | 0.8598</t>
        </is>
      </c>
      <c r="Q10" s="6" t="inlineStr">
        <is>
          <t>[SOURCE_1] so-tay-kien-thuc-phap-luat-lao-dong-cdi | tr.19 | Trả lời: | 0.9454
[SOURCE_2] Văn-bản-hợp-nhất-18-VBHN-VPQH | tr.38 | Điều 98. Tiền lương làm thêm giờ, làm việc vào ban đêm | 0.9207
[SOURCE_3] ILO-VCCI_Labour-Law-Guide-Book-V04-Final | tr.100 | 1. Tiền lương làm thêm giờ225 &gt; (a) Đối với NLĐ hưởng lương  | 0.9207
[SOURCE_4] giao trinh Luat lao dong CB 2005 (1) | tr.59 | 4. Trả lương khi làm thêm giờ | 0.9096
[SOURCE_5] giao trinh Luat lao dong CB 2005 (1) | tr.80 | · Các điều kiện và nguyên tắc làm thêm đến 300 giờ trong một | 0.8598</t>
        </is>
      </c>
      <c r="R10" s="6" t="inlineStr">
        <is>
          <t>gemini-3.5-flash-lite</t>
        </is>
      </c>
      <c r="S10" s="6" t="n">
        <v>18</v>
      </c>
      <c r="T10" s="7" t="n">
        <v>0.5</v>
      </c>
      <c r="U10" s="7" t="n">
        <v>1</v>
      </c>
      <c r="V10" s="6" t="inlineStr">
        <is>
          <t>Yes</t>
        </is>
      </c>
      <c r="W10" s="6" t="inlineStr">
        <is>
          <t>Yes</t>
        </is>
      </c>
      <c r="X10" s="6" t="inlineStr">
        <is>
          <t>PARTIAL</t>
        </is>
      </c>
      <c r="Y10" s="6" t="inlineStr">
        <is>
          <t>Thiếu từ khóa (50%)</t>
        </is>
      </c>
      <c r="Z10" s="6" t="inlineStr">
        <is>
          <t>PASS</t>
        </is>
      </c>
      <c r="AA10" s="6">
        <f>IF(Z10="",X10,Z10)</f>
        <v/>
      </c>
      <c r="AB10" s="6" t="n"/>
      <c r="AC10" s="6" t="inlineStr">
        <is>
          <t>[AI] Đúng 200%, trích giáo trình tr.59; scorer chấm thiếu từ khóa oan</t>
        </is>
      </c>
    </row>
    <row r="11">
      <c r="A11" s="6" t="inlineStr">
        <is>
          <t>LAW_A_010</t>
        </is>
      </c>
      <c r="B11" s="6" t="inlineStr">
        <is>
          <t>Direct Fact</t>
        </is>
      </c>
      <c r="C11" s="6" t="inlineStr">
        <is>
          <t>Theo giáo trình, làm thêm vào ngày lễ/ngày nghỉ hưởng lương được trả ít nhất bao nhiêu?</t>
        </is>
      </c>
      <c r="D11" s="6" t="inlineStr">
        <is>
          <t>Ít nhất bằng 300% theo quy định được tài liệu trình bày.</t>
        </is>
      </c>
      <c r="E11" s="6" t="inlineStr">
        <is>
          <t>Căn cứ: phần “Bài 6 - Trả lương làm thêm giờ”, trang 59. 
Nội dung được tài liệu xác nhận: Ít nhất bằng 300% theo quy định được tài liệu trình bày.</t>
        </is>
      </c>
      <c r="F11" s="6" t="n">
        <v>59</v>
      </c>
      <c r="G11" s="6" t="inlineStr">
        <is>
          <t>Bài 6 - Trả lương làm thêm giờ</t>
        </is>
      </c>
      <c r="H11" s="6" t="inlineStr">
        <is>
          <t>300% | ngày lễ | nghỉ hưởng lương</t>
        </is>
      </c>
      <c r="I11" s="6" t="inlineStr">
        <is>
          <t>Medium</t>
        </is>
      </c>
      <c r="J11" s="6" t="inlineStr">
        <is>
          <t>Single Chunk</t>
        </is>
      </c>
      <c r="K11" s="6" t="inlineStr">
        <is>
          <t>Yes</t>
        </is>
      </c>
      <c r="L11" s="6" t="inlineStr">
        <is>
          <t>Answer from document</t>
        </is>
      </c>
      <c r="M11" s="6" t="n"/>
      <c r="N11" s="6" t="inlineStr">
        <is>
          <t>giao trinh Luat lao dong CB 2005 (1)</t>
        </is>
      </c>
      <c r="O11" s="6" t="inlineStr">
        <is>
          <t>Theo tài liệu, người lao động làm thêm giờ vào ngày lễ, ngày nghỉ có hưởng lương được trả lương ít nhất bằng 300% (chưa kể tiền lương của ngày lễ, ngày nghỉ có hưởng lương đối với người lao động hưởng lương ngày) [SOURCE_1], [SOURCE_2], [SOURCE_3], [SOURCE_5].</t>
        </is>
      </c>
      <c r="P11" s="6" t="inlineStr">
        <is>
          <t>[SOURCE_1] so-tay-kien-thuc-phap-luat-lao-dong-cdi | tr.19 | Trả lời: | 0.9537
[SOURCE_2] giao trinh Luat lao dong CB 2005 (1) | tr.59 | 4. Trả lương khi làm thêm giờ | 0.9412
[SOURCE_3] Văn-bản-hợp-nhất-18-VBHN-VPQH | tr.38 | Điều 98. Tiền lương làm thêm giờ, làm việc vào ban đêm | 0.9356
[SOURCE_5] ILO-VCCI_Labour-Law-Guide-Book-V04-Final | tr.100 | 1. Tiền lương làm thêm giờ225 &gt; (a) Đối với NLĐ hưởng lương  | 0.9082</t>
        </is>
      </c>
      <c r="Q11" s="6" t="inlineStr">
        <is>
          <t>[SOURCE_1] so-tay-kien-thuc-phap-luat-lao-dong-cdi | tr.19 | Trả lời: | 0.9537
[SOURCE_2] giao trinh Luat lao dong CB 2005 (1) | tr.59 | 4. Trả lương khi làm thêm giờ | 0.9412
[SOURCE_3] Văn-bản-hợp-nhất-18-VBHN-VPQH | tr.38 | Điều 98. Tiền lương làm thêm giờ, làm việc vào ban đêm | 0.9356
[SOURCE_4] luu-ban-nhap-tu-dong-3-4 | tr.424 | Điều 25. Tiền lương làm thêm giờ, làm việc vào ban đêm | 0.9305
[SOURCE_5] ILO-VCCI_Labour-Law-Guide-Book-V04-Final | tr.100 | 1. Tiền lương làm thêm giờ225 &gt; (a) Đối với NLĐ hưởng lương  | 0.9082</t>
        </is>
      </c>
      <c r="R11" s="6" t="inlineStr">
        <is>
          <t>gemini-3.5-flash-lite</t>
        </is>
      </c>
      <c r="S11" s="6" t="n">
        <v>16.2</v>
      </c>
      <c r="T11" s="7" t="n">
        <v>1</v>
      </c>
      <c r="U11" s="7" t="n">
        <v>0.5</v>
      </c>
      <c r="V11" s="6" t="inlineStr">
        <is>
          <t>Yes</t>
        </is>
      </c>
      <c r="W11" s="6" t="inlineStr">
        <is>
          <t>Yes</t>
        </is>
      </c>
      <c r="X11" s="6" t="inlineStr">
        <is>
          <t>PASS</t>
        </is>
      </c>
      <c r="Y11" s="6" t="inlineStr"/>
      <c r="Z11" s="6" t="inlineStr">
        <is>
          <t>PASS</t>
        </is>
      </c>
      <c r="AA11" s="6">
        <f>IF(Z11="",X11,Z11)</f>
        <v/>
      </c>
      <c r="AB11" s="6" t="n"/>
      <c r="AC11" s="6" t="inlineStr">
        <is>
          <t>[AI] Đồng ý với chấm tự động</t>
        </is>
      </c>
    </row>
    <row r="12">
      <c r="A12" s="6" t="inlineStr">
        <is>
          <t>LAW_A_011</t>
        </is>
      </c>
      <c r="B12" s="6" t="inlineStr">
        <is>
          <t>Rule</t>
        </is>
      </c>
      <c r="C12" s="6" t="inlineStr">
        <is>
          <t>Giới hạn làm thêm giờ mà giáo trình nêu là bao nhiêu?</t>
        </is>
      </c>
      <c r="D12" s="6" t="inlineStr">
        <is>
          <t>Không quá 4 giờ trong một ngày, 200 giờ trong một năm; một số trường hợp đặc biệt không quá 300 giờ trong một năm.</t>
        </is>
      </c>
      <c r="E12" s="6" t="inlineStr">
        <is>
          <t>Căn cứ: phần “Bài 7 - Làm thêm giờ”, trang 79. 
Nội dung được tài liệu xác nhận: Không quá 4 giờ trong một ngày, 200 giờ trong một năm; một số trường hợp đặc biệt không quá 300 giờ trong một năm.</t>
        </is>
      </c>
      <c r="F12" s="6" t="n">
        <v>79</v>
      </c>
      <c r="G12" s="6" t="inlineStr">
        <is>
          <t>Bài 7 - Làm thêm giờ</t>
        </is>
      </c>
      <c r="H12" s="6" t="inlineStr">
        <is>
          <t>4 giờ/ngày | 200 giờ/năm | 300 giờ/năm</t>
        </is>
      </c>
      <c r="I12" s="6" t="inlineStr">
        <is>
          <t>Medium</t>
        </is>
      </c>
      <c r="J12" s="6" t="inlineStr">
        <is>
          <t>Single Chunk</t>
        </is>
      </c>
      <c r="K12" s="6" t="inlineStr">
        <is>
          <t>Yes</t>
        </is>
      </c>
      <c r="L12" s="6" t="inlineStr">
        <is>
          <t>Answer from document</t>
        </is>
      </c>
      <c r="M12" s="6" t="n"/>
      <c r="N12" s="6" t="inlineStr">
        <is>
          <t>giao trinh Luat lao dong CB 2005 (1)</t>
        </is>
      </c>
      <c r="O12" s="6" t="inlineStr">
        <is>
          <t>Dựa trên tài liệu được cung cấp, giới hạn làm thêm giờ được quy định như sau:
* **Trong ngày và trong tuần:** Tổng số giờ làm thêm không quá 50% số giờ làm việc bình thường trong 01 ngày khi làm thêm vào ngày làm việc bình thường [SOURCE_3, SOURCE_4]. Trường hợp áp dụng quy định thời giờ làm việc bình thường theo tuần, tổng số giờ làm việc bình thường và số giờ làm thêm không quá 12 giờ trong 01 ngày [SOURCE_3, SOURCE_4]. Quy định này cũng áp dụng tương tự đối với trường hợp làm việc không trọn thời gian khi làm thêm vào ngày nghỉ lễ, tết và ngày nghỉ hằng tuần [SOURCE_4].
* **Trong tháng:** Tổng số giờ làm thêm của người lao động không quá 40 giờ trong 01 tháng (tăng từ 30 giờ lên 40 giờ so với quy định tại Bộ luật Lao động 2012) [SOURCE_4]. (Lưu ý tại Điều 106 đề cập mức không quá 30 giờ trong 01 tháng [SOURCE_3], nhưng phần phân tích chi tiết của tài liệu nêu rõ giới hạn tối đa là 40 giờ trong 01 tháng từ ngày 01/01/2021 [SOURCE_4]).
* **Trong năm:** Tổng số giờ làm thêm không quá 200 giờ trong 01 năm, trừ một số trường hợp đặc biệt được Chính phủ quy định thì được làm thêm giờ không quá 300 giờ trong 01 năm [SOURCE_3].</t>
        </is>
      </c>
      <c r="P12" s="6" t="inlineStr">
        <is>
          <t>[SOURCE_3] luu-ban-nhap-tu-dong-3-4 | tr.101 | Điều 106. Làm thêm giờ | 0.4728
[SOURCE_4] ILO-VCCI_Labour-Law-Guide-Book-V04-Final | tr.111 | (i) Giới hạn số giờ làm thêm trong ngày và trong tháng | 0.436</t>
        </is>
      </c>
      <c r="Q12" s="6" t="inlineStr">
        <is>
          <t>[SOURCE_1] ILO-VCCI_Labour-Law-Guide-Book-V04-Final | tr.112 | (ii) Giới hạn số giờ làm thêm trong năm | 0.6783
[SOURCE_2] ILO-VCCI_Labour-Law-Guide-Book-V04-Final | tr.112 | (ii) Giới hạn số giờ làm thêm trong năm | 0.4942
[SOURCE_3] luu-ban-nhap-tu-dong-3-4 | tr.101 | Điều 106. Làm thêm giờ | 0.4728
[SOURCE_4] ILO-VCCI_Labour-Law-Guide-Book-V04-Final | tr.111 | (i) Giới hạn số giờ làm thêm trong ngày và trong tháng | 0.436</t>
        </is>
      </c>
      <c r="R12" s="6" t="inlineStr">
        <is>
          <t>gemini-3.5-flash-lite</t>
        </is>
      </c>
      <c r="S12" s="6" t="n">
        <v>18.8</v>
      </c>
      <c r="T12" s="7" t="n">
        <v>0.6666666666666666</v>
      </c>
      <c r="U12" s="7" t="n">
        <v>1</v>
      </c>
      <c r="V12" s="6" t="inlineStr">
        <is>
          <t>No</t>
        </is>
      </c>
      <c r="W12" s="6" t="inlineStr">
        <is>
          <t>No</t>
        </is>
      </c>
      <c r="X12" s="6" t="inlineStr">
        <is>
          <t>PARTIAL</t>
        </is>
      </c>
      <c r="Y12" s="6" t="inlineStr">
        <is>
          <t>Thiếu từ khóa (67%); Không trích tài liệu mong đợi (không có trong ngữ cảnh); Không trích đúng trang 79 (±1)</t>
        </is>
      </c>
      <c r="Z12" s="6" t="inlineStr">
        <is>
          <t>FAIL</t>
        </is>
      </c>
      <c r="AA12" s="6">
        <f>IF(Z12="",X12,Z12)</f>
        <v/>
      </c>
      <c r="AB12" s="6" t="inlineStr">
        <is>
          <t>DEF-05</t>
        </is>
      </c>
      <c r="AC12" s="6" t="inlineStr">
        <is>
          <t>[AI] Sai pháp lý: trả lời 50%/40 giờ/tháng theo BLLĐ 2019 (ILO, bộ tổng hợp) thay vì 4 giờ/ngày, 200 giờ/năm của giáo trình</t>
        </is>
      </c>
    </row>
    <row r="13">
      <c r="A13" s="6" t="inlineStr">
        <is>
          <t>LAW_A_012</t>
        </is>
      </c>
      <c r="B13" s="6" t="inlineStr">
        <is>
          <t>Concept</t>
        </is>
      </c>
      <c r="C13" s="6" t="inlineStr">
        <is>
          <t>Vì sao phương pháp thỏa thuận có vai trò quan trọng trong Luật lao động theo giáo trình?</t>
        </is>
      </c>
      <c r="D13" s="6" t="inlineStr">
        <is>
          <t>Vì quan hệ lao động có bản chất tự do thương lượng; các bên thỏa thuận trên cơ sở tự nguyện, bình đẳng để cùng có lợi và thực hiện nghĩa vụ.</t>
        </is>
      </c>
      <c r="E13" s="6" t="inlineStr">
        <is>
          <t>Căn cứ: phần “Bài 1 - Phương pháp điều chỉnh”
Nội dung được tài liệu xác nhận: Vì quan hệ lao động có bản chất tự do thương lượng; các bên thỏa thuận trên cơ sở tự nguyện, bình đẳng để cùng có lợi và thực hiện nghĩa vụ.</t>
        </is>
      </c>
      <c r="F13" s="6" t="n"/>
      <c r="G13" s="6" t="inlineStr">
        <is>
          <t>Bài 1 - Phương pháp điều chỉnh</t>
        </is>
      </c>
      <c r="H13" s="6" t="inlineStr">
        <is>
          <t>thỏa thuận | tự nguyện | bình đẳng | cùng có lợi</t>
        </is>
      </c>
      <c r="I13" s="6" t="inlineStr">
        <is>
          <t>Medium</t>
        </is>
      </c>
      <c r="J13" s="6" t="inlineStr">
        <is>
          <t>Single Chunk</t>
        </is>
      </c>
      <c r="K13" s="6" t="inlineStr">
        <is>
          <t>Yes</t>
        </is>
      </c>
      <c r="L13" s="6" t="inlineStr">
        <is>
          <t>Answer from document</t>
        </is>
      </c>
      <c r="M13" s="6" t="n"/>
      <c r="N13" s="6" t="inlineStr">
        <is>
          <t>giao trinh Luat lao dong CB 2005 (1)</t>
        </is>
      </c>
      <c r="O13" s="6" t="inlineStr">
        <is>
          <t>Dựa trên tài liệu được cung cấp, phương pháp thỏa thuận có vai trò quan trọng vì những lý do sau:
* Phương pháp này chủ yếu được áp dụng trong trường hợp xác lập quan hệ lao động giữa người lao động và người sử dụng lao động, cũng như trong việc xác lập thỏa ước lao động tập thể [SOURCE_2].
* Xuất phát từ bản chất của quan hệ lao động là tự do thương lượng, các bên cùng nhau thỏa thuận các vấn đề liên quan trong quá trình lao động trên cơ sở tự nguyện và bình đẳng [SOURCE_1], [SOURCE_2]. 
* Việc thỏa thuận nhằm đảm bảo cho hai bên cùng có lợi và tạo điều kiện để các bên thực hiện tốt các nghĩa vụ của mình [SOURCE_1], [SOURCE_2].</t>
        </is>
      </c>
      <c r="P13" s="6" t="inlineStr">
        <is>
          <t>[SOURCE_1] giao trinh Luat lao dong CB 2005 (1) | tr.7 | a - Phương pháp thỏa thuận | 0.9808
[SOURCE_2] giao trinh Luat lao dong CB 2005 (1) | tr.7 | a - Phương pháp thỏa thuận | 0.9449</t>
        </is>
      </c>
      <c r="Q13" s="6" t="inlineStr">
        <is>
          <t>[SOURCE_1] giao trinh Luat lao dong CB 2005 (1) | tr.7 | a - Phương pháp thỏa thuận | 0.9808
[SOURCE_2] giao trinh Luat lao dong CB 2005 (1) | tr.7 | a - Phương pháp thỏa thuận | 0.9449
[SOURCE_3] giao trinh Luat lao dong CB 2005 (1) | tr.49 | 4. Ý nghĩa của thỏa ước lao động tập thể | 0.3944</t>
        </is>
      </c>
      <c r="R13" s="6" t="inlineStr">
        <is>
          <t>gemini-3.5-flash-lite</t>
        </is>
      </c>
      <c r="S13" s="6" t="n">
        <v>18.9</v>
      </c>
      <c r="T13" s="7" t="n">
        <v>1</v>
      </c>
      <c r="U13" s="7" t="n">
        <v>1</v>
      </c>
      <c r="V13" s="6" t="inlineStr">
        <is>
          <t>Yes</t>
        </is>
      </c>
      <c r="W13" s="6" t="inlineStr">
        <is>
          <t>n/a</t>
        </is>
      </c>
      <c r="X13" s="6" t="inlineStr">
        <is>
          <t>PASS</t>
        </is>
      </c>
      <c r="Y13" s="6" t="inlineStr"/>
      <c r="Z13" s="6" t="inlineStr">
        <is>
          <t>PASS</t>
        </is>
      </c>
      <c r="AA13" s="6">
        <f>IF(Z13="",X13,Z13)</f>
        <v/>
      </c>
      <c r="AB13" s="6" t="n"/>
      <c r="AC13" s="6" t="inlineStr">
        <is>
          <t>[AI] Đồng ý với chấm tự động</t>
        </is>
      </c>
    </row>
    <row r="14">
      <c r="A14" s="6" t="inlineStr">
        <is>
          <t>LAW_A_013</t>
        </is>
      </c>
      <c r="B14" s="6" t="inlineStr">
        <is>
          <t>Comparison</t>
        </is>
      </c>
      <c r="C14" s="6" t="inlineStr">
        <is>
          <t>Phương pháp thỏa thuận trong Luật lao động khác Luật dân sự ở điểm nào theo giáo trình?</t>
        </is>
      </c>
      <c r="D14" s="6" t="inlineStr">
        <is>
          <t>Giáo trình cho rằng trong dân sự các chủ thể bình đẳng và độc lập về địa vị kinh tế nên thỏa thuận được sử dụng triệt để; trong lao động, thỏa thuận chịu ảnh hưởng bởi quan hệ phụ thuộc và các giới hạn bảo vệ lao động.</t>
        </is>
      </c>
      <c r="E14" s="6" t="inlineStr">
        <is>
          <t>Căn cứ: phần “Bài 1 - Phương pháp điều chỉnh” 
Nội dung được tài liệu xác nhận: Giáo trình cho rằng trong dân sự các chủ thể bình đẳng và độc lập về địa vị kinh tế nên thỏa thuận được sử dụng triệt để; trong lao động, thỏa thuận chịu ảnh hưởng bởi quan hệ phụ thuộc và các giới hạn bảo vệ lao động.</t>
        </is>
      </c>
      <c r="F14" s="6" t="n"/>
      <c r="G14" s="6" t="inlineStr">
        <is>
          <t>Bài 1 - Phương pháp điều chỉnh</t>
        </is>
      </c>
      <c r="H14" s="6" t="inlineStr">
        <is>
          <t>dân sự | lao động | bình đẳng | phụ thuộc</t>
        </is>
      </c>
      <c r="I14" s="6" t="inlineStr">
        <is>
          <t>Medium</t>
        </is>
      </c>
      <c r="J14" s="6" t="inlineStr">
        <is>
          <t>Multiple Chunks</t>
        </is>
      </c>
      <c r="K14" s="6" t="inlineStr">
        <is>
          <t>Yes</t>
        </is>
      </c>
      <c r="L14" s="6" t="inlineStr">
        <is>
          <t>Answer from document</t>
        </is>
      </c>
      <c r="M14" s="6" t="n"/>
      <c r="N14" s="6" t="inlineStr">
        <is>
          <t>giao trinh Luat lao dong CB 2005 (1)</t>
        </is>
      </c>
      <c r="O14" s="6" t="inlineStr">
        <is>
          <t>Theo tài liệu, phương pháp thỏa thuận trong Luật lao động khác với phương pháp thỏa thuận trong Luật dân sự ở những điểm sau:
* **Về địa vị và tính độc lập của các chủ thể:** Trong Luật dân sự, các chủ thể tham gia quan hệ xã hội bình đẳng và độc lập với nhau về địa vị kinh tế [SOURCE_1]. Ngược lại, trong Luật lao động, các chủ thể tham gia quan hệ lao động không bình đẳng về địa vị và không độc lập với nhau về tổ chức [SOURCE_1].
* **Về mức độ sử dụng và phạm vi tác động:** Trong Luật dân sự, phương pháp thỏa thuận được sử dụng triệt để và tác động lên các quan hệ dân sự trong suốt quá trình từ khi xác lập đến khi chấm dứt [SOURCE_1]. Trong Luật lao động, tuy các chủ thể thực hiện quyền tự định đoạt, tự do, thương lượng, tự nguyện thỏa thuận trong khuôn khổ pháp luật nhằm đảm bảo cùng có lợi, nhưng quan hệ lao động luôn có yếu tố quản lý [SOURCE_1]. 
* **Sự can thiệp của Nhà nước:** Để điều hòa mối quan hệ không bình đẳng giữa các bên trong Luật lao động, Nhà nước bằng pháp luật đã đặt ra các quy định nhằm bảo vệ người lao động, nâng cao vị trí của người lao động để họ bình đẳng với người sử dụng lao động [SOURCE_1].</t>
        </is>
      </c>
      <c r="P14" s="6" t="inlineStr">
        <is>
          <t>[SOURCE_1] giao trinh Luat lao dong CB 2005 (1) | tr.7 | a - Phương pháp thỏa thuận | 0.9941</t>
        </is>
      </c>
      <c r="Q14" s="6" t="inlineStr">
        <is>
          <t>[SOURCE_1] giao trinh Luat lao dong CB 2005 (1) | tr.7 | a - Phương pháp thỏa thuận | 0.9941
[SOURCE_2] giao trinh Luat lao dong CB 2005 (1) | tr.7 | a - Phương pháp thỏa thuận | 0.8212</t>
        </is>
      </c>
      <c r="R14" s="6" t="inlineStr">
        <is>
          <t>gemini-3.5-flash-lite</t>
        </is>
      </c>
      <c r="S14" s="6" t="n">
        <v>19.7</v>
      </c>
      <c r="T14" s="7" t="n">
        <v>0.75</v>
      </c>
      <c r="U14" s="7" t="n">
        <v>0.7368421052631579</v>
      </c>
      <c r="V14" s="6" t="inlineStr">
        <is>
          <t>Yes</t>
        </is>
      </c>
      <c r="W14" s="6" t="inlineStr">
        <is>
          <t>n/a</t>
        </is>
      </c>
      <c r="X14" s="6" t="inlineStr">
        <is>
          <t>PASS</t>
        </is>
      </c>
      <c r="Y14" s="6" t="inlineStr"/>
      <c r="Z14" s="6" t="inlineStr">
        <is>
          <t>PASS</t>
        </is>
      </c>
      <c r="AA14" s="6">
        <f>IF(Z14="",X14,Z14)</f>
        <v/>
      </c>
      <c r="AB14" s="6" t="n"/>
      <c r="AC14" s="6" t="inlineStr">
        <is>
          <t>[AI] Đồng ý với chấm tự động</t>
        </is>
      </c>
    </row>
    <row r="15">
      <c r="A15" s="6" t="inlineStr">
        <is>
          <t>LAW_A_014</t>
        </is>
      </c>
      <c r="B15" s="6" t="inlineStr">
        <is>
          <t>Concept</t>
        </is>
      </c>
      <c r="C15" s="6" t="inlineStr">
        <is>
          <t>Quan hệ bồi thường thiệt hại trong lao động phát sinh khi nào?</t>
        </is>
      </c>
      <c r="D15" s="6" t="inlineStr">
        <is>
          <t>Phát sinh khi một chủ thể trong quá trình thực hiện quyền, nghĩa vụ lao động gây thiệt hại về sức khỏe, tính mạng, tài sản hoặc lợi ích của bên kia.</t>
        </is>
      </c>
      <c r="E15" s="6" t="inlineStr">
        <is>
          <t>Căn cứ: phần “Bài 1 - Bồi thường thiệt hại”, trang 6.
Nội dung được tài liệu xác nhận: Phát sinh khi một chủ thể trong quá trình thực hiện quyền, nghĩa vụ lao động gây thiệt hại về sức khỏe, tính mạng, tài sản hoặc lợi ích của bên kia.</t>
        </is>
      </c>
      <c r="F15" s="6" t="n">
        <v>6</v>
      </c>
      <c r="G15" s="6" t="inlineStr">
        <is>
          <t>Bài 1 - Bồi thường thiệt hại</t>
        </is>
      </c>
      <c r="H15" s="6" t="inlineStr">
        <is>
          <t>thiệt hại | sức khỏe | tính mạng | tài sản</t>
        </is>
      </c>
      <c r="I15" s="6" t="inlineStr">
        <is>
          <t>Medium</t>
        </is>
      </c>
      <c r="J15" s="6" t="inlineStr">
        <is>
          <t>Single Chunk</t>
        </is>
      </c>
      <c r="K15" s="6" t="inlineStr">
        <is>
          <t>Yes</t>
        </is>
      </c>
      <c r="L15" s="6" t="inlineStr">
        <is>
          <t>Answer from document</t>
        </is>
      </c>
      <c r="M15" s="6" t="n"/>
      <c r="N15" s="6" t="inlineStr">
        <is>
          <t>giao trinh Luat lao dong CB 2005 (1)</t>
        </is>
      </c>
      <c r="O15" s="6" t="inlineStr">
        <is>
          <t>Dựa trên tài liệu được cung cấp, quan hệ về bồi thường thiệt hại phát sinh khi các chủ thể tham gia quan hệ lao động thực hiện các quyền và nghĩa vụ lao động của mình, nhưng một trong các chủ thể đã gây thiệt hại về sức khỏe, tính mạng, tài sản hoặc lợi ích của bên kia [SOURCE_1].</t>
        </is>
      </c>
      <c r="P15" s="6" t="inlineStr">
        <is>
          <t>[SOURCE_1] giao trinh Luat lao dong CB 2005 (1) | tr.5 | (2) Quan hệ học nghề | 0.9279</t>
        </is>
      </c>
      <c r="Q15" s="6" t="inlineStr">
        <is>
          <t>[SOURCE_1] giao trinh Luat lao dong CB 2005 (1) | tr.5 | (2) Quan hệ học nghề | 0.9279
[SOURCE_2] giao trinh Luat lao dong CB 2005 (1) | tr.5 | (2) Quan hệ học nghề | 0.8897
[SOURCE_3] giao trinh Luat lao dong CB 2005 (1) | tr.95 | - Có quan hệ nhân quả giữa hành vi vi phạm và thiệt hại tài  | 0.5862
[SOURCE_4] luu-ban-nhap-tu-dong-3-4 | tr.41 | Mục 2. TRÁCH NHIỆM VẬT CHẤT &gt; Điều 129. Bồi thường thiệt hại | 0.411</t>
        </is>
      </c>
      <c r="R15" s="6" t="inlineStr">
        <is>
          <t>gemini-3.5-flash-lite</t>
        </is>
      </c>
      <c r="S15" s="6" t="n">
        <v>15</v>
      </c>
      <c r="T15" s="7" t="n">
        <v>1</v>
      </c>
      <c r="U15" s="7" t="n">
        <v>0.92</v>
      </c>
      <c r="V15" s="6" t="inlineStr">
        <is>
          <t>Yes</t>
        </is>
      </c>
      <c r="W15" s="6" t="inlineStr">
        <is>
          <t>Yes</t>
        </is>
      </c>
      <c r="X15" s="6" t="inlineStr">
        <is>
          <t>PASS</t>
        </is>
      </c>
      <c r="Y15" s="6" t="inlineStr"/>
      <c r="Z15" s="6" t="inlineStr">
        <is>
          <t>PASS</t>
        </is>
      </c>
      <c r="AA15" s="6">
        <f>IF(Z15="",X15,Z15)</f>
        <v/>
      </c>
      <c r="AB15" s="6" t="n"/>
      <c r="AC15" s="6" t="inlineStr">
        <is>
          <t>[AI] Đồng ý với chấm tự động</t>
        </is>
      </c>
    </row>
    <row r="16">
      <c r="A16" s="6" t="inlineStr">
        <is>
          <t>LAW_A_015</t>
        </is>
      </c>
      <c r="B16" s="6" t="inlineStr">
        <is>
          <t>Scenario-based</t>
        </is>
      </c>
      <c r="C16" s="6" t="inlineStr">
        <is>
          <t>Một NLĐ gây thiệt hại tài sản cho NSDLĐ khi thực hiện nghĩa vụ lao động. Theo cách phân loại của giáo trình, đây thuộc nhóm quan hệ nào?</t>
        </is>
      </c>
      <c r="D16" s="6" t="inlineStr">
        <is>
          <t>Thuộc quan hệ về bồi thường thiệt hại liên quan đến quan hệ lao động.</t>
        </is>
      </c>
      <c r="E16" s="6" t="inlineStr">
        <is>
          <t>Căn cứ: phần “Bài 1 - Bồi thường thiệt hại”, trang 5. 
Nội dung được tài liệu xác nhận: Thuộc quan hệ về bồi thường thiệt hại liên quan đến quan hệ lao động.</t>
        </is>
      </c>
      <c r="F16" s="6" t="n">
        <v>5</v>
      </c>
      <c r="G16" s="6" t="inlineStr">
        <is>
          <t>Bài 1 - Bồi thường thiệt hại</t>
        </is>
      </c>
      <c r="H16" s="6" t="inlineStr">
        <is>
          <t>bồi thường thiệt hại | tài sản</t>
        </is>
      </c>
      <c r="I16" s="6" t="inlineStr">
        <is>
          <t>Hard</t>
        </is>
      </c>
      <c r="J16" s="6" t="inlineStr">
        <is>
          <t>Single Chunk</t>
        </is>
      </c>
      <c r="K16" s="6" t="inlineStr">
        <is>
          <t>Yes</t>
        </is>
      </c>
      <c r="L16" s="6" t="inlineStr">
        <is>
          <t>Answer from document</t>
        </is>
      </c>
      <c r="M16" s="6" t="n"/>
      <c r="N16" s="6" t="inlineStr">
        <is>
          <t>giao trinh Luat lao dong CB 2005 (1)</t>
        </is>
      </c>
      <c r="O16" s="6" t="inlineStr">
        <is>
          <t>Theo tài liệu được cung cấp, khi một chủ thể gây thiệt hại về tài sản cho bên kia khi thực hiện quyền và nghĩa vụ lao động, giữa họ sẽ phát sinh quan hệ về bồi thường thiệt hại [SOURCE_2]. Các quan hệ pháp luật về bồi thường thiệt hại này được chia thành ba loại, trong đó bao gồm:
- Quan hệ bồi thường thiệt hại tài sản [SOURCE_1].</t>
        </is>
      </c>
      <c r="P16" s="6" t="inlineStr">
        <is>
          <t>[SOURCE_1] giao trinh Luat lao dong CB 2005 (1) | tr.5 | (2) Quan hệ học nghề | 0.9491
[SOURCE_2] giao trinh Luat lao dong CB 2005 (1) | tr.5 | (2) Quan hệ học nghề | 0.8208</t>
        </is>
      </c>
      <c r="Q16" s="6" t="inlineStr">
        <is>
          <t>[SOURCE_1] giao trinh Luat lao dong CB 2005 (1) | tr.5 | (2) Quan hệ học nghề | 0.9491
[SOURCE_2] giao trinh Luat lao dong CB 2005 (1) | tr.5 | (2) Quan hệ học nghề | 0.8208
[SOURCE_3] giao trinh Luat lao dong CB 2005 (1) | tr.95 | - Có quan hệ nhân quả giữa hành vi vi phạm và thiệt hại tài  | 0.6305
[SOURCE_4] ILO-VCCI_Labour-Law-Guide-Book-V04-Final | tr.10 | CHƯƠNG I. QUAN HỆ LAO ĐỘNG VÀ HỢP ĐỒNG LAO ĐỘNG &gt; I. QUAN HỆ | 0.5306
[SOURCE_5] giao trinh Luat lao dong CB 2005 (1) | tr.95 | IV. TRÁCH NHIỆM VẬT CHẤT TRONG QUAN HỆ LAO ĐỘNG &gt; 1. Khái ni | 0.422</t>
        </is>
      </c>
      <c r="R16" s="6" t="inlineStr">
        <is>
          <t>gemini-3.5-flash-lite</t>
        </is>
      </c>
      <c r="S16" s="6" t="n">
        <v>20.8</v>
      </c>
      <c r="T16" s="7" t="n">
        <v>1</v>
      </c>
      <c r="U16" s="7" t="n">
        <v>0.8461538461538461</v>
      </c>
      <c r="V16" s="6" t="inlineStr">
        <is>
          <t>Yes</t>
        </is>
      </c>
      <c r="W16" s="6" t="inlineStr">
        <is>
          <t>Yes</t>
        </is>
      </c>
      <c r="X16" s="6" t="inlineStr">
        <is>
          <t>PASS</t>
        </is>
      </c>
      <c r="Y16" s="6" t="inlineStr"/>
      <c r="Z16" s="6" t="inlineStr">
        <is>
          <t>PASS</t>
        </is>
      </c>
      <c r="AA16" s="6">
        <f>IF(Z16="",X16,Z16)</f>
        <v/>
      </c>
      <c r="AB16" s="6" t="n"/>
      <c r="AC16" s="6" t="inlineStr">
        <is>
          <t>[AI] Ngắn nhưng đúng nhóm quan hệ bồi thường thiệt hại</t>
        </is>
      </c>
    </row>
    <row r="17">
      <c r="A17" s="6" t="inlineStr">
        <is>
          <t>LAW_A_016</t>
        </is>
      </c>
      <c r="B17" s="6" t="inlineStr">
        <is>
          <t>Scenario-based</t>
        </is>
      </c>
      <c r="C17" s="6" t="inlineStr">
        <is>
          <t>Một người tìm việc thông qua trung tâm dịch vụ việc làm. Theo giáo trình, quan hệ này có nằm trong đối tượng điều chỉnh của Luật lao động không?</t>
        </is>
      </c>
      <c r="D17" s="6" t="inlineStr">
        <is>
          <t>Có. Đây là một dạng quan hệ về việc làm giữa NLĐ và trung tâm dịch vụ việc làm, được xếp vào các quan hệ liên quan đến quan hệ lao động.</t>
        </is>
      </c>
      <c r="E17" s="6" t="inlineStr">
        <is>
          <t>Căn cứ: phần “Bài 1 - Quan hệ việc làm”, trang 5. 
Nội dung được tài liệu xác nhận: Có. Đây là một dạng quan hệ về việc làm giữa NLĐ và trung tâm dịch vụ việc làm, được xếp vào các quan hệ liên quan đến quan hệ lao động.</t>
        </is>
      </c>
      <c r="F17" s="6" t="n">
        <v>5</v>
      </c>
      <c r="G17" s="6" t="inlineStr">
        <is>
          <t>Bài 1 - Quan hệ việc làm</t>
        </is>
      </c>
      <c r="H17" s="6" t="inlineStr">
        <is>
          <t>NLĐ | trung tâm dịch vụ việc làm | quan hệ việc làm</t>
        </is>
      </c>
      <c r="I17" s="6" t="inlineStr">
        <is>
          <t>Hard</t>
        </is>
      </c>
      <c r="J17" s="6" t="inlineStr">
        <is>
          <t>Single Chunk</t>
        </is>
      </c>
      <c r="K17" s="6" t="inlineStr">
        <is>
          <t>Yes</t>
        </is>
      </c>
      <c r="L17" s="6" t="inlineStr">
        <is>
          <t>Answer from document</t>
        </is>
      </c>
      <c r="M17" s="6" t="n"/>
      <c r="N17" s="6" t="inlineStr">
        <is>
          <t>giao trinh Luat lao dong CB 2005 (1)</t>
        </is>
      </c>
      <c r="O17" s="6" t="inlineStr">
        <is>
          <t>Dựa trên tài liệu được cung cấp, đối tượng điều chỉnh của Luật lao động bao gồm hai nhóm quan hệ xã hội: quan hệ lao động và các quan hệ liên quan đến quan hệ lao động (phát sinh trong quá trình sử dụng lao động) [SOURCE_1]. 
Trong đó, tài liệu nêu rõ "Các quan hệ liên quan đến quan hệ lao động" là những quan hệ phát sinh từ hoặc có liên quan chặt chẽ với quan hệ lao động [SOURCE_1]. Tuy nhiên, trong các đoạn văn bản được cung cấp, không có thông tin chi tiết cụ thể xác định việc "một người tìm việc thông qua trung tâm dịch vụ việc làm" có trực tiếp thuộc đối tượng điều chỉnh của Luật lao động hay không, mặc dù người lao động có quyền "trực tiếp liên hệ với người sử dụng lao động hoặc thông qua tổ chức dịch vụ việc làm để tìm việc làm" theo Điều 10 [SOURCE_3]. 
Do đó, dựa trên tài liệu được cung cấp, tôi không tìm thấy thông tin đầy đủ để khẳng định chắc chắn rằng quan hệ tìm việc thông qua trung tâm dịch vụ việc làm này có nằm trong đối tượng điều chỉnh của Luật lao động hay không.</t>
        </is>
      </c>
      <c r="P17" s="6" t="inlineStr">
        <is>
          <t>[SOURCE_1] giao trinh Luat lao dong CB 2005 (1) | tr.3 | BÀI 1 &gt; KHÁI NIỆM LUẬT LAO ĐỘNG VIỆT NAM &gt; I - ĐỐI TƯỢNG VÀ  | 0.9622
[SOURCE_3] luu-ban-nhap-tu-dong-3-4 | tr.73 | Điều 10. Quyền làm việc của người lao động | 0.5572</t>
        </is>
      </c>
      <c r="Q17" s="6" t="inlineStr">
        <is>
          <t>[SOURCE_1] giao trinh Luat lao dong CB 2005 (1) | tr.3 | BÀI 1 &gt; KHÁI NIỆM LUẬT LAO ĐỘNG VIỆT NAM &gt; I - ĐỐI TƯỢNG VÀ  | 0.9622
[SOURCE_2] giao trinh Luat lao dong CB 2005 (1) | tr.3 | a - Quan hệ lao động | 0.6522
[SOURCE_3] luu-ban-nhap-tu-dong-3-4 | tr.73 | Điều 10. Quyền làm việc của người lao động | 0.5572</t>
        </is>
      </c>
      <c r="R17" s="6" t="inlineStr">
        <is>
          <t>gemini-3.5-flash-lite</t>
        </is>
      </c>
      <c r="S17" s="6" t="n">
        <v>19.8</v>
      </c>
      <c r="T17" s="7" t="n">
        <v>1</v>
      </c>
      <c r="U17" s="7" t="n">
        <v>0.8076923076923077</v>
      </c>
      <c r="V17" s="6" t="inlineStr">
        <is>
          <t>Yes</t>
        </is>
      </c>
      <c r="W17" s="6" t="inlineStr">
        <is>
          <t>No</t>
        </is>
      </c>
      <c r="X17" s="6" t="inlineStr">
        <is>
          <t>PASS</t>
        </is>
      </c>
      <c r="Y17" s="6" t="inlineStr">
        <is>
          <t>Không trích đúng trang 5 (±1)</t>
        </is>
      </c>
      <c r="Z17" s="6" t="inlineStr">
        <is>
          <t>PARTIAL</t>
        </is>
      </c>
      <c r="AA17" s="6">
        <f>IF(Z17="",X17,Z17)</f>
        <v/>
      </c>
      <c r="AB17" s="6" t="n"/>
      <c r="AC17" s="6" t="inlineStr">
        <is>
          <t>[AI] PASS oan của scorer: không kết luận 'Có', nói không đủ thông tin dù giáo trình xếp quan hệ với trung tâm dịch vụ việc làm vào quan hệ việc làm</t>
        </is>
      </c>
    </row>
    <row r="18">
      <c r="A18" s="6" t="inlineStr">
        <is>
          <t>LAW_A_017</t>
        </is>
      </c>
      <c r="B18" s="6" t="inlineStr">
        <is>
          <t>Multi-hop</t>
        </is>
      </c>
      <c r="C18" s="6" t="inlineStr">
        <is>
          <t>Từ cách giáo trình xác định đối tượng và phương pháp điều chỉnh, hãy giải thích vì sao HĐLĐ vừa mang tính thỏa thuận vừa chịu giới hạn pháp luật.</t>
        </is>
      </c>
      <c r="D18" s="6" t="inlineStr">
        <is>
          <t>Các bên tự do, bình đẳng, tự nguyện thỏa thuận về quá trình lao động, nhưng pháp luật đặt ra khung/chuẩn mực, trong đó quyền lợi thường được ấn định mức tối thiểu và nghĩa vụ ở mức tối đa để bảo vệ quan hệ lao động.</t>
        </is>
      </c>
      <c r="E18" s="6" t="inlineStr">
        <is>
          <t>Căn cứ: phần “Bài 1 - Đối tượng &amp; phương pháp”, trang 4. 
Nội dung được tài liệu xác nhận: Các bên tự do, bình đẳng, tự nguyện thỏa thuận về quá trình lao động, nhưng pháp luật đặt ra khung/chuẩn mực, trong đó quyền lợi thường được ấn định mức tối thiểu và nghĩa vụ ở mức tối đa để bảo vệ quan hệ lao động.</t>
        </is>
      </c>
      <c r="F18" s="6" t="n">
        <v>4</v>
      </c>
      <c r="G18" s="6" t="inlineStr">
        <is>
          <t>Bài 1 - Đối tượng &amp; phương pháp</t>
        </is>
      </c>
      <c r="H18" s="6" t="inlineStr">
        <is>
          <t>tự do thỏa thuận | khung pháp lý | quyền tối thiểu | nghĩa vụ tối đa</t>
        </is>
      </c>
      <c r="I18" s="6" t="inlineStr">
        <is>
          <t>Hard</t>
        </is>
      </c>
      <c r="J18" s="6" t="inlineStr">
        <is>
          <t>Multiple Chunks</t>
        </is>
      </c>
      <c r="K18" s="6" t="inlineStr">
        <is>
          <t>Yes</t>
        </is>
      </c>
      <c r="L18" s="6" t="inlineStr">
        <is>
          <t>Answer from document</t>
        </is>
      </c>
      <c r="M18" s="6" t="n"/>
      <c r="N18" s="6" t="inlineStr">
        <is>
          <t>giao trinh Luat lao dong CB 2005 (1)</t>
        </is>
      </c>
      <c r="O18" s="6" t="inlineStr">
        <is>
          <t>Dựa trên tài liệu được cung cấp, phương pháp thỏa thuận trong Luật lao động cho phép các bên cùng nhau thỏa thuận các vấn đề liên quan trong quá trình lao động trên cơ sở tự nguyện, bình đẳng nhằm đảm bảo cùng có lợi và tạo điều kiện thực hiện tốt nghĩa vụ [SOURCE_1]. Các chủ thể thực hiện quyền tự định đoạt của mình thông qua sự tự do, thương lượng và thỏa thuận [SOURCE_1].
Tuy nhiên, phương pháp thỏa thuận trong Luật lao động chịu sự giới hạn và có sự khác biệt so với Luật dân sự:
- Trong Luật lao động, các chủ thể tham gia quan hệ lao động không bình đẳng về địa vị và không độc lập với nhau về tổ chức [SOURCE_1]. 
- Do đó, để điều hòa mối quan hệ này và bảo vệ người lao động, Nhà nước thông qua pháp luật đã đặt ra những quy định nhằm nâng cao vị trí của người lao động để họ bình đẳng hơn với người sử dụng lao động [SOURCE_1]. 
- Vì vậy, mặc dù là tự do thỏa thuận và các chủ thể thực hiện quyền tự định đoạt, sự thỏa thuận đó luôn phải nằm trong khuôn khổ pháp luật và quan hệ lao động luôn mang yếu tố quản lý [SOURCE_1].</t>
        </is>
      </c>
      <c r="P18" s="6" t="inlineStr">
        <is>
          <t>[SOURCE_1] giao trinh Luat lao dong CB 2005 (1) | tr.7 | a - Phương pháp thỏa thuận | 0.5369</t>
        </is>
      </c>
      <c r="Q18" s="6" t="inlineStr">
        <is>
          <t>[SOURCE_1] giao trinh Luat lao dong CB 2005 (1) | tr.7 | a - Phương pháp thỏa thuận | 0.5369
[SOURCE_2] giao trinh Luat lao dong CB 2005 (1) | tr.7 | 2 - Phương pháp điều chỉnh của luật lao động | 0.4546
[SOURCE_3] giao trinh Luat lao dong CB 2005 (1) | tr.182 | 5. Đặc điểm và phân loại thẩm quyền của công đoàn &gt; a. Đặc đ | 0.4193</t>
        </is>
      </c>
      <c r="R18" s="6" t="inlineStr">
        <is>
          <t>gemini-3.5-flash-lite</t>
        </is>
      </c>
      <c r="S18" s="6" t="n">
        <v>16.4</v>
      </c>
      <c r="T18" s="7" t="n">
        <v>0.25</v>
      </c>
      <c r="U18" s="7" t="n">
        <v>0.6923076923076923</v>
      </c>
      <c r="V18" s="6" t="inlineStr">
        <is>
          <t>Yes</t>
        </is>
      </c>
      <c r="W18" s="6" t="inlineStr">
        <is>
          <t>No</t>
        </is>
      </c>
      <c r="X18" s="6" t="inlineStr">
        <is>
          <t>PARTIAL</t>
        </is>
      </c>
      <c r="Y18" s="6" t="inlineStr">
        <is>
          <t>Thiếu từ khóa (25%); Không trích đúng trang 4 (±1)</t>
        </is>
      </c>
      <c r="Z18" s="6" t="inlineStr">
        <is>
          <t>PASS</t>
        </is>
      </c>
      <c r="AA18" s="6">
        <f>IF(Z18="",X18,Z18)</f>
        <v/>
      </c>
      <c r="AB18" s="6" t="n"/>
      <c r="AC18" s="6" t="inlineStr">
        <is>
          <t>[AI] Không chắc: đủ ý thỏa thuận + Nhà nước đặt khung bảo vệ NLĐ; thiếu câu chữ 'quyền tối thiểu, nghĩa vụ tối đa'</t>
        </is>
      </c>
    </row>
    <row r="19">
      <c r="A19" s="6" t="inlineStr">
        <is>
          <t>LAW_A_018</t>
        </is>
      </c>
      <c r="B19" s="6" t="inlineStr">
        <is>
          <t>Multi-hop</t>
        </is>
      </c>
      <c r="C19" s="6" t="inlineStr">
        <is>
          <t>Giáo trình liên hệ quan hệ tranh chấp lao động và đình công với mục tiêu ổn định quan hệ lao động như thế nào?</t>
        </is>
      </c>
      <c r="D19" s="6" t="inlineStr">
        <is>
          <t>Việc giải quyết tranh chấp/đình công do các cơ quan, tổ chức có thẩm quyền thực hiện nhằm bảo đảm quyền lợi các bên và duy trì sự hài hòa, ổn định của quan hệ lao động.</t>
        </is>
      </c>
      <c r="E19" s="6" t="inlineStr">
        <is>
          <t>Căn cứ: phần “Bài 1 - Tranh chấp lao động”, trang 7. 
Nội dung được tài liệu xác nhận: Việc giải quyết tranh chấp/đình công do các cơ quan, tổ chức có thẩm quyền thực hiện nhằm bảo đảm quyền lợi các bên và duy trì sự hài hòa, ổn định của quan hệ lao động.</t>
        </is>
      </c>
      <c r="F19" s="6" t="n">
        <v>7</v>
      </c>
      <c r="G19" s="6" t="inlineStr">
        <is>
          <t>Bài 1 - Tranh chấp lao động</t>
        </is>
      </c>
      <c r="H19" s="6" t="inlineStr">
        <is>
          <t>tranh chấp | đình công | cơ quan thẩm quyền | hài hòa | ổn định</t>
        </is>
      </c>
      <c r="I19" s="6" t="inlineStr">
        <is>
          <t>Hard</t>
        </is>
      </c>
      <c r="J19" s="6" t="inlineStr">
        <is>
          <t>Single Chunk</t>
        </is>
      </c>
      <c r="K19" s="6" t="inlineStr">
        <is>
          <t>Yes</t>
        </is>
      </c>
      <c r="L19" s="6" t="inlineStr">
        <is>
          <t>Answer from document</t>
        </is>
      </c>
      <c r="M19" s="6" t="n"/>
      <c r="N19" s="6" t="inlineStr">
        <is>
          <t>giao trinh Luat lao dong CB 2005 (1)</t>
        </is>
      </c>
      <c r="O19" s="6" t="inlineStr">
        <is>
          <t>Dựa trên tài liệu được cung cấp, việc giải quyết các tranh chấp lao động và các cuộc đình công do các tổ chức, cơ quan có thẩm quyền thực hiện (như Hội đồng hòa giải ở cơ sở, Hội đồng trọng tài lao động cấp tỉnh hoặc Tòa án nhân dân) nhằm mục đích bảo đảm quyền lợi cho cả hai bên và đảm bảo sự hài hòa, ổn định của quan hệ lao động [SOURCE_1]. Vì vậy, quan hệ về giải quyết các tranh chấp lao động và các cuộc đình công thuộc đối tượng điều chỉnh của Luật lao động [SOURCE_1].</t>
        </is>
      </c>
      <c r="P19" s="6" t="inlineStr">
        <is>
          <t>[SOURCE_1] giao trinh Luat lao dong CB 2005 (1) | tr.6 | (6) Quan hệ về giải quyết các tranh chấp lao động và các cuộ | 0.9696</t>
        </is>
      </c>
      <c r="Q19" s="6" t="inlineStr">
        <is>
          <t>[SOURCE_1] giao trinh Luat lao dong CB 2005 (1) | tr.6 | (6) Quan hệ về giải quyết các tranh chấp lao động và các cuộ | 0.9696
[SOURCE_2] giao trinh Luat lao dong CB 2005 (1) | tr.13 | Giáo trình Luật Lao động cơ bản | 0.7965
[SOURCE_3] luu-ban-nhap-tu-dong-3-4 | tr.60 | Mục 5. ĐÌNH CÔNG Điều 198. Đình công | 0.6755
[SOURCE_4] luu-ban-nhap-tu-dong-3-4 | tr.133 | Mục 4 ĐÌNH CÔNG VÀ GIẢI QUYẾT ĐÌNH CÔNG &gt; Điều 209. Đình côn | 0.5837</t>
        </is>
      </c>
      <c r="R19" s="6" t="inlineStr">
        <is>
          <t>gemini-3.5-flash-lite</t>
        </is>
      </c>
      <c r="S19" s="6" t="n">
        <v>20.4</v>
      </c>
      <c r="T19" s="7" t="n">
        <v>1</v>
      </c>
      <c r="U19" s="7" t="n">
        <v>0.9393939393939394</v>
      </c>
      <c r="V19" s="6" t="inlineStr">
        <is>
          <t>Yes</t>
        </is>
      </c>
      <c r="W19" s="6" t="inlineStr">
        <is>
          <t>Yes</t>
        </is>
      </c>
      <c r="X19" s="6" t="inlineStr">
        <is>
          <t>PASS</t>
        </is>
      </c>
      <c r="Y19" s="6" t="inlineStr"/>
      <c r="Z19" s="6" t="inlineStr">
        <is>
          <t>PASS</t>
        </is>
      </c>
      <c r="AA19" s="6">
        <f>IF(Z19="",X19,Z19)</f>
        <v/>
      </c>
      <c r="AB19" s="6" t="n"/>
      <c r="AC19" s="6" t="inlineStr">
        <is>
          <t>[AI] Đồng ý với chấm tự động</t>
        </is>
      </c>
    </row>
    <row r="20">
      <c r="A20" s="6" t="inlineStr">
        <is>
          <t>LAW_A_019</t>
        </is>
      </c>
      <c r="B20" s="6" t="inlineStr">
        <is>
          <t>Source-awareness</t>
        </is>
      </c>
      <c r="C20" s="6" t="inlineStr">
        <is>
          <t>Nếu hỏi “quy định hiện hành năm 2026 về làm thêm giờ”, RAG có nên chỉ dùng con số trong giáo trình 2005 không?</t>
        </is>
      </c>
      <c r="D20" s="6" t="inlineStr">
        <is>
          <t>Không nên. Giáo trình là nguồn lịch sử/giảng dạy cũ; hệ thống phải nhận diện thời điểm của nguồn và không trình bày quy định trong tài liệu này như pháp luật hiện hành năm 2026 nếu không có nguồn cập nhật.</t>
        </is>
      </c>
      <c r="E20" s="6" t="inlineStr">
        <is>
          <t>Căn cứ: phần “Lưu ý nguồn/tính thời điểm”, trang 1. 
Nội dung được tài liệu xác nhận: Không nên. Giáo trình là nguồn lịch sử/giảng dạy cũ; hệ thống phải nhận diện thời điểm của nguồn và không trình bày quy định trong tài liệu này như pháp luật hiện hành năm 2026 nếu không có nguồn cập nhật.</t>
        </is>
      </c>
      <c r="F20" s="6" t="n">
        <v>1</v>
      </c>
      <c r="G20" s="6" t="inlineStr">
        <is>
          <t>Lưu ý nguồn/tính thời điểm</t>
        </is>
      </c>
      <c r="H20" s="6" t="inlineStr">
        <is>
          <t>nguồn 2005 | lịch sử | không suy diễn hiện hành</t>
        </is>
      </c>
      <c r="I20" s="6" t="inlineStr">
        <is>
          <t>Hard</t>
        </is>
      </c>
      <c r="J20" s="6" t="inlineStr">
        <is>
          <t>Multiple Chunks</t>
        </is>
      </c>
      <c r="K20" s="6" t="inlineStr">
        <is>
          <t>Yes</t>
        </is>
      </c>
      <c r="L20" s="6" t="inlineStr">
        <is>
          <t>Answer with temporal caveat</t>
        </is>
      </c>
      <c r="M20" s="6" t="inlineStr">
        <is>
          <t>Tests temporal grounding.</t>
        </is>
      </c>
      <c r="N20" s="6" t="inlineStr">
        <is>
          <t>giao trinh Luat lao dong CB 2005 (1)</t>
        </is>
      </c>
      <c r="O20" s="6" t="inlineStr">
        <is>
          <t>Dựa trên tài liệu được cung cấp, tôi không tìm thấy thông tin để trả lời câu hỏi này.</t>
        </is>
      </c>
      <c r="P20" s="6" t="inlineStr"/>
      <c r="Q20" s="6" t="inlineStr"/>
      <c r="R20" s="6" t="inlineStr">
        <is>
          <t>(no LLM call: early exit)</t>
        </is>
      </c>
      <c r="S20" s="6" t="n">
        <v>18.1</v>
      </c>
      <c r="T20" s="7" t="n">
        <v>0</v>
      </c>
      <c r="U20" s="7" t="n">
        <v>0</v>
      </c>
      <c r="V20" s="6" t="inlineStr">
        <is>
          <t>No</t>
        </is>
      </c>
      <c r="W20" s="6" t="inlineStr">
        <is>
          <t>No</t>
        </is>
      </c>
      <c r="X20" s="6" t="inlineStr">
        <is>
          <t>FAIL</t>
        </is>
      </c>
      <c r="Y20" s="6" t="inlineStr">
        <is>
          <t>Từ chối trả lời dù câu hỏi có đáp án</t>
        </is>
      </c>
      <c r="Z20" s="6" t="inlineStr">
        <is>
          <t>FAIL</t>
        </is>
      </c>
      <c r="AA20" s="6">
        <f>IF(Z20="",X20,Z20)</f>
        <v/>
      </c>
      <c r="AB20" s="6" t="inlineStr">
        <is>
          <t>DEF-04</t>
        </is>
      </c>
      <c r="AC20" s="6" t="inlineStr">
        <is>
          <t>[AI] Từ chối; câu hỏi về hành vi RAG, cần SME xem lại thiết kế test</t>
        </is>
      </c>
    </row>
    <row r="21">
      <c r="A21" s="6" t="inlineStr">
        <is>
          <t>LAW_A_020</t>
        </is>
      </c>
      <c r="B21" s="6" t="inlineStr">
        <is>
          <t>Synthesis</t>
        </is>
      </c>
      <c r="C21" s="6" t="inlineStr">
        <is>
          <t>Theo giáo trình, vì sao Luật lao động không chỉ điều chỉnh việc “đi làm nhận lương” mà còn bao phủ nhiều quan hệ khác?</t>
        </is>
      </c>
      <c r="D21" s="6" t="inlineStr">
        <is>
          <t>Vì ngoài quan hệ lao động làm công ăn lương, quá trình sử dụng lao động còn phát sinh các quan hệ gắn chặt như việc làm, học nghề, bồi thường, BHXH, công đoàn, tranh chấp/đình công và quản lý lao động; các quan hệ này cần được điều chỉnh để quan hệ lao động vận hành ổn định.</t>
        </is>
      </c>
      <c r="E21" s="6" t="inlineStr">
        <is>
          <t>Căn cứ: phần “Bài 1 - Tổng hợp”
Nội dung được tài liệu xác nhận: Vì ngoài quan hệ lao động làm công ăn lương, quá trình sử dụng lao động còn phát sinh các quan hệ gắn chặt như việc làm, học nghề, bồi thường, BHXH, công đoàn, tranh chấp/đình công và quản lý lao động; các quan hệ này cần được điều chỉnh để quan hệ lao động vận hành ổn định.</t>
        </is>
      </c>
      <c r="F21" s="6" t="n"/>
      <c r="G21" s="6" t="inlineStr">
        <is>
          <t>Bài 1 - Tổng hợp</t>
        </is>
      </c>
      <c r="H21" s="6" t="inlineStr">
        <is>
          <t>quan hệ lao động | quan hệ liên quan | ổn định</t>
        </is>
      </c>
      <c r="I21" s="6" t="inlineStr">
        <is>
          <t>Hard</t>
        </is>
      </c>
      <c r="J21" s="6" t="inlineStr">
        <is>
          <t>Multiple Chunks</t>
        </is>
      </c>
      <c r="K21" s="6" t="inlineStr">
        <is>
          <t>Yes</t>
        </is>
      </c>
      <c r="L21" s="6" t="inlineStr">
        <is>
          <t>Answer from document</t>
        </is>
      </c>
      <c r="M21" s="6" t="n"/>
      <c r="N21" s="6" t="inlineStr">
        <is>
          <t>giao trinh Luat lao dong CB 2005 (1)</t>
        </is>
      </c>
      <c r="O21" s="6" t="inlineStr">
        <is>
          <t>Theo giáo trình, Luật lao động không chỉ điều chỉnh quan hệ lao động làm công ăn lương mà còn bao phủ nhiều quan hệ khác vì đối tượng điều chỉnh của Luật lao động bao gồm hai nhóm quan hệ xã hội: nhóm quan hệ lao động và nhóm các quan hệ liên quan đến quan hệ lao động (phát sinh trong quá trình sử dụng lao động) [SOURCE_5]. 
Bên cạnh quan hệ lao động làm công ăn lương là quan hệ chủ yếu, Luật lao động còn điều chỉnh một số quan hệ xã hội khác có liên quan chặt chẽ với quan hệ lao động, bao gồm [SOURCE_3]:
- Quan hệ về việc làm [SOURCE_3].
- Quan hệ học nghề [SOURCE_3].
- Quan hệ về bồi thường thiệt hại [SOURCE_3].
- Quan hệ về bảo hiểm xã hội [SOURCE_3].
- Quan hệ giữa người sử dụng lao động với tổ chức Công đoàn, đại diện của tập thể người lao động [SOURCE_3].
- Quan hệ về giải quyết các tranh chấp lao động và các cuộc đình công [SOURCE_3].
- Quan hệ về quản lý lao động [SOURCE_3].
Ngoài ra, bản thân quan hệ lao động vừa mang tính kinh tế vừa mang tính xã hội [SOURCE_4]. Luật lao động không chỉ giải quyết các mục tiêu kinh tế như lợi nhuận, tiền lương và sự tăng trưởng trong sản xuất kinh doanh, mà còn phải giải quyết các vấn đề xã hội như việc làm, công bằng, dân chủ, tương trợ cộng đồng ngay trong quá trình lao động và tại các doanh nghiệp để làm động lực phát triển kinh tế [SOURCE_4].</t>
        </is>
      </c>
      <c r="P21" s="6" t="inlineStr">
        <is>
          <t>[SOURCE_3] giao trinh Luat lao dong CB 2005 (1) | tr.4 | b - Các quan hệ liên quan đến quan hệ lao động | 0.8773
[SOURCE_4] giao trinh Luat lao dong CB 2005 (1) | tr.13 | Giáo trình Luật Lao động cơ bản | 0.8155
[SOURCE_5] giao trinh Luat lao dong CB 2005 (1) | tr.3 | BÀI 1 &gt; KHÁI NIỆM LUẬT LAO ĐỘNG VIỆT NAM &gt; I - ĐỐI TƯỢNG VÀ  | 0.7594</t>
        </is>
      </c>
      <c r="Q21" s="6" t="inlineStr">
        <is>
          <t>[SOURCE_1] giao trinh Luat lao dong CB 2005 (1) | tr.3 | a - Quan hệ lao động | 0.9642
[SOURCE_2] giao trinh Luat lao dong CB 2005 (1) | tr.3 | a - Quan hệ lao động | 0.9122
[SOURCE_3] giao trinh Luat lao dong CB 2005 (1) | tr.4 | b - Các quan hệ liên quan đến quan hệ lao động | 0.8773
[SOURCE_4] giao trinh Luat lao dong CB 2005 (1) | tr.13 | Giáo trình Luật Lao động cơ bản | 0.8155
[SOURCE_5] giao trinh Luat lao dong CB 2005 (1) | tr.3 | BÀI 1 &gt; KHÁI NIỆM LUẬT LAO ĐỘNG VIỆT NAM &gt; I - ĐỐI TƯỢNG VÀ  | 0.7594</t>
        </is>
      </c>
      <c r="R21" s="6" t="inlineStr">
        <is>
          <t>gemini-3.5-flash-lite</t>
        </is>
      </c>
      <c r="S21" s="6" t="n">
        <v>19.1</v>
      </c>
      <c r="T21" s="7" t="n">
        <v>0.6666666666666666</v>
      </c>
      <c r="U21" s="7" t="n">
        <v>0.8928571428571429</v>
      </c>
      <c r="V21" s="6" t="inlineStr">
        <is>
          <t>Yes</t>
        </is>
      </c>
      <c r="W21" s="6" t="inlineStr">
        <is>
          <t>n/a</t>
        </is>
      </c>
      <c r="X21" s="6" t="inlineStr">
        <is>
          <t>PARTIAL</t>
        </is>
      </c>
      <c r="Y21" s="6" t="inlineStr">
        <is>
          <t>Thiếu từ khóa (67%)</t>
        </is>
      </c>
      <c r="Z21" s="6" t="inlineStr">
        <is>
          <t>PASS</t>
        </is>
      </c>
      <c r="AA21" s="6">
        <f>IF(Z21="",X21,Z21)</f>
        <v/>
      </c>
      <c r="AB21" s="6" t="n"/>
      <c r="AC21" s="6" t="inlineStr">
        <is>
          <t>[AI] Đủ 7 quan hệ liên quan; scorer chấm thiếu từ khóa oan</t>
        </is>
      </c>
    </row>
    <row r="22">
      <c r="A22" s="6" t="inlineStr">
        <is>
          <t>LAW_B_001</t>
        </is>
      </c>
      <c r="B22" s="6" t="inlineStr">
        <is>
          <t>Direct Fact</t>
        </is>
      </c>
      <c r="C22" s="6" t="inlineStr">
        <is>
          <t>Theo sổ tay, hợp đồng lao động có thể được giao kết bằng lời nói trong trường hợp nào?</t>
        </is>
      </c>
      <c r="D22" s="6" t="inlineStr">
        <is>
          <t>Theo tài liệu, giao kết bằng lời nói áp dụng với công việc tạm thời có thời hạn dưới 03 tháng.</t>
        </is>
      </c>
      <c r="E22" s="6" t="inlineStr">
        <is>
          <t>Căn cứ: phần “Phần I - Hợp đồng lao động”, trang 11. 
Nội dung được tài liệu xác nhận: Theo tài liệu, giao kết bằng lời nói áp dụng với công việc tạm thời có thời hạn dưới 03 tháng.</t>
        </is>
      </c>
      <c r="F22" s="6" t="n">
        <v>11</v>
      </c>
      <c r="G22" s="6" t="inlineStr">
        <is>
          <t>Phần I - Hợp đồng lao động</t>
        </is>
      </c>
      <c r="H22" s="6" t="inlineStr">
        <is>
          <t>lời nói | tạm thời | dưới 03 tháng</t>
        </is>
      </c>
      <c r="I22" s="6" t="inlineStr">
        <is>
          <t>Easy</t>
        </is>
      </c>
      <c r="J22" s="6" t="inlineStr">
        <is>
          <t>Single Chunk</t>
        </is>
      </c>
      <c r="K22" s="6" t="inlineStr">
        <is>
          <t>Yes</t>
        </is>
      </c>
      <c r="L22" s="6" t="inlineStr">
        <is>
          <t>Answer from document</t>
        </is>
      </c>
      <c r="M22" s="6" t="n"/>
      <c r="N22" s="6" t="inlineStr">
        <is>
          <t>so-tay-kien-thuc-phap-luat-lao-dong-cdi</t>
        </is>
      </c>
      <c r="O22" s="6" t="inlineStr">
        <is>
          <t>Theo tài liệu được cung cấp, việc giao kết hợp đồng lao động bằng lời nói chỉ được áp dụng trong trường hợp làm công việc tạm thời có thời hạn dưới 03 tháng [SOURCE_1], [SOURCE_2].</t>
        </is>
      </c>
      <c r="P22" s="6" t="inlineStr">
        <is>
          <t>[SOURCE_1] so-tay-kien-thuc-phap-luat-lao-dong-cdi | tr.11 | Trả lời: | 0.9907
[SOURCE_2] so-tay-kien-thuc-phap-luat-lao-dong-cdi | tr.49 | Trả lời: | 0.9852</t>
        </is>
      </c>
      <c r="Q22" s="6" t="inlineStr">
        <is>
          <t>[SOURCE_1] so-tay-kien-thuc-phap-luat-lao-dong-cdi | tr.11 | Trả lời: | 0.9907
[SOURCE_2] so-tay-kien-thuc-phap-luat-lao-dong-cdi | tr.49 | Trả lời: | 0.9852
[SOURCE_3] Văn-bản-hợp-nhất-18-VBHN-VPQH | tr.7 | Điều 14. Hình thức hợp đồng lao động | 0.9647
[SOURCE_4] giao trinh Luat lao dong CB 2005 (1) | tr.36 | b. Hình thức của hợp đồng lao động | 0.9553
[SOURCE_5] so-tay-kien-thuc-phap-luat-lao-dong-cdi | tr.6 | Mục lục &gt; KIẾN THỨC VỀ PHÁP LUẬT LAO ĐỘNG | 0.7975</t>
        </is>
      </c>
      <c r="R22" s="6" t="inlineStr">
        <is>
          <t>gemini-3.5-flash-lite</t>
        </is>
      </c>
      <c r="S22" s="6" t="n">
        <v>16</v>
      </c>
      <c r="T22" s="7" t="n">
        <v>1</v>
      </c>
      <c r="U22" s="7" t="n">
        <v>1</v>
      </c>
      <c r="V22" s="6" t="inlineStr">
        <is>
          <t>Yes</t>
        </is>
      </c>
      <c r="W22" s="6" t="inlineStr">
        <is>
          <t>Yes</t>
        </is>
      </c>
      <c r="X22" s="6" t="inlineStr">
        <is>
          <t>PASS</t>
        </is>
      </c>
      <c r="Y22" s="6" t="inlineStr"/>
      <c r="Z22" s="6" t="inlineStr">
        <is>
          <t>PASS</t>
        </is>
      </c>
      <c r="AA22" s="6">
        <f>IF(Z22="",X22,Z22)</f>
        <v/>
      </c>
      <c r="AB22" s="6" t="n"/>
      <c r="AC22" s="6" t="inlineStr">
        <is>
          <t>[AI] Đồng ý với chấm tự động</t>
        </is>
      </c>
    </row>
    <row r="23">
      <c r="A23" s="6" t="inlineStr">
        <is>
          <t>LAW_B_002</t>
        </is>
      </c>
      <c r="B23" s="6" t="inlineStr">
        <is>
          <t>Concept</t>
        </is>
      </c>
      <c r="C23" s="6" t="inlineStr">
        <is>
          <t>Vì sao sổ tay khuyến nghị nên ký hợp đồng lao động?</t>
        </is>
      </c>
      <c r="D23" s="6" t="inlineStr">
        <is>
          <t>Vì hợp đồng thể hiện thỏa thuận về công việc, lương, điều kiện làm việc, quyền và nghĩa vụ và là căn cứ xem xét khi phát sinh tranh chấp.</t>
        </is>
      </c>
      <c r="E23" s="6" t="inlineStr">
        <is>
          <t>Căn cứ: phần “Phần I - Hợp đồng lao động”
Nội dung được tài liệu xác nhận: Vì hợp đồng thể hiện thỏa thuận về công việc, lương, điều kiện làm việc, quyền và nghĩa vụ và là căn cứ xem xét khi phát sinh tranh chấp.</t>
        </is>
      </c>
      <c r="F23" s="6" t="n"/>
      <c r="G23" s="6" t="inlineStr">
        <is>
          <t>Phần I - Hợp đồng lao động</t>
        </is>
      </c>
      <c r="H23" s="6" t="inlineStr">
        <is>
          <t>thỏa thuận | căn cứ | tranh chấp</t>
        </is>
      </c>
      <c r="I23" s="6" t="inlineStr">
        <is>
          <t>Easy</t>
        </is>
      </c>
      <c r="J23" s="6" t="inlineStr">
        <is>
          <t>Single Chunk</t>
        </is>
      </c>
      <c r="K23" s="6" t="inlineStr">
        <is>
          <t>Yes</t>
        </is>
      </c>
      <c r="L23" s="6" t="inlineStr">
        <is>
          <t>Answer from document</t>
        </is>
      </c>
      <c r="M23" s="6" t="n"/>
      <c r="N23" s="6" t="inlineStr">
        <is>
          <t>so-tay-kien-thuc-phap-luat-lao-dong-cdi</t>
        </is>
      </c>
      <c r="O23" s="6" t="inlineStr">
        <is>
          <t>Dựa trên tài liệu được cung cấp, sổ tay khuyến nghị việc ký kết hợp đồng lao động vì những lý do sau:
* **Đối với người lao động:** Nhằm đảm bảo quyền lợi của họ, đồng thời là căn cứ để hạn chế việc người sử dụng lao động bóc lột, đánh đập hoặc vi phạm quyền lợi của người lao động [SOURCE_1].
* **Đối với người sử dụng lao động:** Hợp đồng lao động là căn cứ để quản lý người lao động và chỉ rõ nghĩa vụ của người lao động đối với người sử dụng lao động [SOURCE_1].
* **Đối với cả hai bên:** Việc thực hiện tốt các nguyên tắc của hợp đồng giúp các bên đảm bảo được quyền và nghĩa vụ của mình, từ đó tránh xảy ra tranh chấp, kiện tụng ảnh hưởng đến việc làm của cả hai bên [SOURCE_1].</t>
        </is>
      </c>
      <c r="P23" s="6" t="inlineStr">
        <is>
          <t>[SOURCE_1] so-tay-kien-thuc-phap-luat-lao-dong-cdi | tr.12 | Trả lời: | 0.466</t>
        </is>
      </c>
      <c r="Q23" s="6" t="inlineStr">
        <is>
          <t>[SOURCE_1] so-tay-kien-thuc-phap-luat-lao-dong-cdi | tr.12 | Trả lời: | 0.466</t>
        </is>
      </c>
      <c r="R23" s="6" t="inlineStr">
        <is>
          <t>gemini-3.5-flash-lite</t>
        </is>
      </c>
      <c r="S23" s="6" t="n">
        <v>22.8</v>
      </c>
      <c r="T23" s="7" t="n">
        <v>0.6666666666666666</v>
      </c>
      <c r="U23" s="7" t="n">
        <v>0.6</v>
      </c>
      <c r="V23" s="6" t="inlineStr">
        <is>
          <t>Yes</t>
        </is>
      </c>
      <c r="W23" s="6" t="inlineStr">
        <is>
          <t>n/a</t>
        </is>
      </c>
      <c r="X23" s="6" t="inlineStr">
        <is>
          <t>PARTIAL</t>
        </is>
      </c>
      <c r="Y23" s="6" t="inlineStr">
        <is>
          <t>Thiếu từ khóa (67%)</t>
        </is>
      </c>
      <c r="Z23" s="6" t="inlineStr">
        <is>
          <t>PARTIAL</t>
        </is>
      </c>
      <c r="AA23" s="6">
        <f>IF(Z23="",X23,Z23)</f>
        <v/>
      </c>
      <c r="AB23" s="6" t="n"/>
      <c r="AC23" s="6" t="inlineStr">
        <is>
          <t>[AI] Đúng tài liệu (sổ tay tr.12) nhưng thiếu ý 'căn cứ xem xét khi tranh chấp'</t>
        </is>
      </c>
    </row>
    <row r="24">
      <c r="A24" s="6" t="inlineStr">
        <is>
          <t>LAW_B_003</t>
        </is>
      </c>
      <c r="B24" s="6" t="inlineStr">
        <is>
          <t>Direct Fact</t>
        </is>
      </c>
      <c r="C24" s="6" t="inlineStr">
        <is>
          <t>Sổ tay có đề cập nội dung “khi nào được ký HĐLĐ không xác định thời hạn” ở phần nào?</t>
        </is>
      </c>
      <c r="D24" s="6" t="inlineStr">
        <is>
          <t>Nội dung này nằm trong Phần I - Hợp đồng lao động.</t>
        </is>
      </c>
      <c r="E24" s="6" t="inlineStr">
        <is>
          <t>Căn cứ: phần “Phần I - Hợp đồng lao động”, trang 6. 
Nội dung được tài liệu xác nhận: Nội dung này nằm trong Phần I - Hợp đồng lao động.</t>
        </is>
      </c>
      <c r="F24" s="6" t="n">
        <v>6</v>
      </c>
      <c r="G24" s="6" t="inlineStr">
        <is>
          <t>Phần I - Hợp đồng lao động</t>
        </is>
      </c>
      <c r="H24" s="6" t="inlineStr">
        <is>
          <t>HĐLĐ không xác định thời hạn</t>
        </is>
      </c>
      <c r="I24" s="6" t="inlineStr">
        <is>
          <t>Easy</t>
        </is>
      </c>
      <c r="J24" s="6" t="inlineStr">
        <is>
          <t>Single Chunk</t>
        </is>
      </c>
      <c r="K24" s="6" t="inlineStr">
        <is>
          <t>Yes</t>
        </is>
      </c>
      <c r="L24" s="6" t="inlineStr">
        <is>
          <t>Answer from document</t>
        </is>
      </c>
      <c r="M24" s="6" t="n"/>
      <c r="N24" s="6" t="inlineStr">
        <is>
          <t>so-tay-kien-thuc-phap-luat-lao-dong-cdi</t>
        </is>
      </c>
      <c r="O24" s="6" t="inlineStr">
        <is>
          <t>Dựa trên tài liệu được cung cấp, nội dung liên quan đến việc khi nào hợp đồng lao động trở thành hoặc phải ký kết hợp đồng lao động không xác định thời hạn được đề cập tại các phần sau:
* **Phần (b) của Mục "5. Gia hạn HĐLĐ":** Khi hợp đồng lao động xác định thời hạn đầu tiên kết thúc, người sử dụng lao động chỉ có thể ký thêm một hợp đồng lao động xác định thời hạn nữa và sau đó phải ký hợp đồng lao động không xác định thời hạn với người lao động [SOURCE_1].
* **Phần "Điều 20. Loại hợp đồng lao động":** Kể từ ngày hợp đồng lao động hết hạn mà hai bên không ký kết hợp đồng lao động mới thì hợp đồng đã giao kết theo điểm b khoản này trở thành hợp đồng lao động không xác định thời hạn; hoặc trường hợp hai bên ký kết hợp đồng lao động mới là hợp đồng lao động xác định thời hạn thì cũng chỉ được ký thêm 01 lần, sau đó nếu người lao động vẫn tiếp tục làm việc thì phải ký kết hợp đồng lao động không xác định thời hạn (trừ một số trường hợp ngoại lệ pháp luật quy định) [SOURCE_3].
* **Phần "Trả lời:":** Có hai trường hợp chuyển từ xác định thời hạn sang không xác định thời hạn: (1) Hết hạn hợp đồng xác định thời hạn sau 30 ngày mà hai bên không ký hợp đồng lao động mới thì hợp đồng đã giao kết trở thành hợp đồng lao động không xác định thời hạn; hoặc (2) Trường hợp hai bên ký kết hợp đồng lao động mới là hợp đồng xác định thời hạn thì cũng chỉ được ký thêm 01 lần, sau đó nếu người lao động vẫn tiếp tục làm việc thì phải ký kết hợp đồng lao động không xác định thời hạn [SOURCE_4].
* **Phần "Điều 22. Loại hợp đồng lao động":** Khi hợp đồng lao động quy định tại điểm b và điểm c khoản 1 Điều này hết hạn mà người lao động vẫn tiếp tục làm việc thì trong thời hạn 30 ngày, kể từ ngày hợp đồng lao động hết hạn, hai bên phải ký kết hợp đồng lao động mới; nếu không ký kết thì hợp đồng theo điểm b trở thành hợp đồng không xác định thời hạn. Đồng thời, trường hợp hai bên ký kết hợp đồng lao động mới là hợp đồng xác định thời hạn thì cũng chỉ được ký thêm 01 lần, sau đó nếu người lao động vẫn tiếp tục làm việc thì phải ký kết hợp đồng lao động không xác định thời hạn [SOURCE_5].</t>
        </is>
      </c>
      <c r="P24" s="6" t="inlineStr">
        <is>
          <t>[SOURCE_1] ILO-VCCI_Labour-Law-Guide-Book-V04-Final | tr.18 | 5. Gia hạn HĐLĐ | 0.8821
[SOURCE_3] Văn-bản-hợp-nhất-18-VBHN-VPQH | tr.9 | Điều 20. Loại hợp đồng lao động | 0.8088
[SOURCE_4] so-tay-kien-thuc-phap-luat-lao-dong-cdi | tr.13 | Trả lời: | 0.8098
[SOURCE_5] luu-ban-nhap-tu-dong-3-4 | tr.76 | Điều 22. Loại hợp đồng lao động | 0.7937</t>
        </is>
      </c>
      <c r="Q24" s="6" t="inlineStr">
        <is>
          <t>[SOURCE_1] ILO-VCCI_Labour-Law-Guide-Book-V04-Final | tr.18 | 5. Gia hạn HĐLĐ | 0.8821
[SOURCE_2] ILO-VCCI_Labour-Law-Guide-Book-V04-Final | tr.19 | (a) Đối với người lao động cao tuổi: | 0.8691
[SOURCE_3] Văn-bản-hợp-nhất-18-VBHN-VPQH | tr.9 | Điều 20. Loại hợp đồng lao động | 0.8088
[SOURCE_4] so-tay-kien-thuc-phap-luat-lao-dong-cdi | tr.13 | Trả lời: | 0.8098
[SOURCE_5] luu-ban-nhap-tu-dong-3-4 | tr.76 | Điều 22. Loại hợp đồng lao động | 0.7937</t>
        </is>
      </c>
      <c r="R24" s="6" t="inlineStr">
        <is>
          <t>gemini-3.5-flash-lite</t>
        </is>
      </c>
      <c r="S24" s="6" t="n">
        <v>18</v>
      </c>
      <c r="T24" s="7" t="n">
        <v>1</v>
      </c>
      <c r="U24" s="7" t="n">
        <v>0.875</v>
      </c>
      <c r="V24" s="6" t="inlineStr">
        <is>
          <t>Yes</t>
        </is>
      </c>
      <c r="W24" s="6" t="inlineStr">
        <is>
          <t>No</t>
        </is>
      </c>
      <c r="X24" s="6" t="inlineStr">
        <is>
          <t>PASS</t>
        </is>
      </c>
      <c r="Y24" s="6" t="inlineStr">
        <is>
          <t>Không trích đúng trang 6 (±1)</t>
        </is>
      </c>
      <c r="Z24" s="6" t="inlineStr">
        <is>
          <t>FAIL</t>
        </is>
      </c>
      <c r="AA24" s="6">
        <f>IF(Z24="",X24,Z24)</f>
        <v/>
      </c>
      <c r="AB24" s="6" t="inlineStr">
        <is>
          <t>DEF-02</t>
        </is>
      </c>
      <c r="AC24" s="6" t="inlineStr">
        <is>
          <t>[AI] PASS oan của scorer: không nêu 'Phần I - Hợp đồng lao động', trả lời bằng mục của cẩm nang ILO và Điều 20</t>
        </is>
      </c>
    </row>
    <row r="25">
      <c r="A25" s="6" t="inlineStr">
        <is>
          <t>LAW_B_004</t>
        </is>
      </c>
      <c r="B25" s="6" t="inlineStr">
        <is>
          <t>Direct Fact</t>
        </is>
      </c>
      <c r="C25" s="6" t="inlineStr">
        <is>
          <t>Sổ tay xếp quy định về thử việc vào nhóm nội dung nào?</t>
        </is>
      </c>
      <c r="D25" s="6" t="inlineStr">
        <is>
          <t>Thuộc Phần I - Hợp đồng lao động.</t>
        </is>
      </c>
      <c r="E25" s="6" t="inlineStr">
        <is>
          <t>Căn cứ: phần “Phần I - Hợp đồng lao động”, trang 6. 
Nội dung được tài liệu xác nhận: Thuộc Phần I - Hợp đồng lao động.</t>
        </is>
      </c>
      <c r="F25" s="6" t="n">
        <v>6</v>
      </c>
      <c r="G25" s="6" t="inlineStr">
        <is>
          <t>Phần I - Hợp đồng lao động</t>
        </is>
      </c>
      <c r="H25" s="6" t="inlineStr">
        <is>
          <t>thử việc | hợp đồng lao động</t>
        </is>
      </c>
      <c r="I25" s="6" t="inlineStr">
        <is>
          <t>Easy</t>
        </is>
      </c>
      <c r="J25" s="6" t="inlineStr">
        <is>
          <t>Single Chunk</t>
        </is>
      </c>
      <c r="K25" s="6" t="inlineStr">
        <is>
          <t>Yes</t>
        </is>
      </c>
      <c r="L25" s="6" t="inlineStr">
        <is>
          <t>Answer from document</t>
        </is>
      </c>
      <c r="M25" s="6" t="n"/>
      <c r="N25" s="6" t="inlineStr">
        <is>
          <t>so-tay-kien-thuc-phap-luat-lao-dong-cdi</t>
        </is>
      </c>
      <c r="O25" s="6" t="inlineStr">
        <is>
          <t>Dựa trên tài liệu được cung cấp, tôi không tìm thấy thông tin để trả lời câu hỏi này.</t>
        </is>
      </c>
      <c r="P25" s="6" t="inlineStr"/>
      <c r="Q25" s="6" t="inlineStr">
        <is>
          <t>[SOURCE_1] luu-ban-nhap-tu-dong-3-4 | tr.77 | Điều 26. Thử việc | 0.4688
[SOURCE_2] Văn-bản-hợp-nhất-18-VBHN-VPQH | tr.11 | Điều 24. Thử việc | 0.3633
[SOURCE_3] ILO-VCCI_Labour-Law-Guide-Book-V04-Final | tr.14 | 3. Hình thức của thỏa thuận thử việc | 0.4043</t>
        </is>
      </c>
      <c r="R25" s="6" t="inlineStr">
        <is>
          <t>gemini-3.5-flash-lite</t>
        </is>
      </c>
      <c r="S25" s="6" t="n">
        <v>22.2</v>
      </c>
      <c r="T25" s="7" t="n">
        <v>0</v>
      </c>
      <c r="U25" s="7" t="n">
        <v>0</v>
      </c>
      <c r="V25" s="6" t="inlineStr">
        <is>
          <t>No</t>
        </is>
      </c>
      <c r="W25" s="6" t="inlineStr">
        <is>
          <t>No</t>
        </is>
      </c>
      <c r="X25" s="6" t="inlineStr">
        <is>
          <t>FAIL</t>
        </is>
      </c>
      <c r="Y25" s="6" t="inlineStr">
        <is>
          <t>Từ chối trả lời dù câu hỏi có đáp án</t>
        </is>
      </c>
      <c r="Z25" s="6" t="inlineStr">
        <is>
          <t>FAIL</t>
        </is>
      </c>
      <c r="AA25" s="6">
        <f>IF(Z25="",X25,Z25)</f>
        <v/>
      </c>
      <c r="AB25" s="6" t="inlineStr">
        <is>
          <t>DEF-02</t>
        </is>
      </c>
      <c r="AC25" s="6" t="inlineStr">
        <is>
          <t>[AI] Từ chối câu hỏi điều hướng (Phần I)</t>
        </is>
      </c>
    </row>
    <row r="26">
      <c r="A26" s="6" t="inlineStr">
        <is>
          <t>LAW_B_005</t>
        </is>
      </c>
      <c r="B26" s="6" t="inlineStr">
        <is>
          <t>Direct Fact</t>
        </is>
      </c>
      <c r="C26" s="6" t="inlineStr">
        <is>
          <t>Sổ tay xếp trả tiền lương làm thêm giờ vào phần nào?</t>
        </is>
      </c>
      <c r="D26" s="6" t="inlineStr">
        <is>
          <t>Thuộc Phần II - Tiền lương.</t>
        </is>
      </c>
      <c r="E26" s="6" t="inlineStr">
        <is>
          <t>Căn cứ: phần “Phần II - Tiền lương”, trang 6. 
Nội dung được tài liệu xác nhận: Thuộc Phần II - Tiền lương.</t>
        </is>
      </c>
      <c r="F26" s="6" t="n">
        <v>6</v>
      </c>
      <c r="G26" s="6" t="inlineStr">
        <is>
          <t>Phần II - Tiền lương</t>
        </is>
      </c>
      <c r="H26" s="6" t="inlineStr">
        <is>
          <t>làm thêm giờ | tiền lương</t>
        </is>
      </c>
      <c r="I26" s="6" t="inlineStr">
        <is>
          <t>Easy</t>
        </is>
      </c>
      <c r="J26" s="6" t="inlineStr">
        <is>
          <t>Single Chunk</t>
        </is>
      </c>
      <c r="K26" s="6" t="inlineStr">
        <is>
          <t>Yes</t>
        </is>
      </c>
      <c r="L26" s="6" t="inlineStr">
        <is>
          <t>Answer from document</t>
        </is>
      </c>
      <c r="M26" s="6" t="n"/>
      <c r="N26" s="6" t="inlineStr">
        <is>
          <t>so-tay-kien-thuc-phap-luat-lao-dong-cdi</t>
        </is>
      </c>
      <c r="O26" s="6" t="inlineStr">
        <is>
          <t>Dựa trên tài liệu được cung cấp, sổ tay xếp việc trả tiền lương làm thêm giờ vào **PHẦN II TIỀN LƯƠNG** [SOURCE_1].</t>
        </is>
      </c>
      <c r="P26" s="6" t="inlineStr">
        <is>
          <t>[SOURCE_1] so-tay-kien-thuc-phap-luat-lao-dong-cdi | tr.17 | PHẦN II TIỀN LƯƠNG &gt; Trả tiền lương làm thêm giờ. @ | 0.8177</t>
        </is>
      </c>
      <c r="Q26" s="6" t="inlineStr">
        <is>
          <t>[SOURCE_1] so-tay-kien-thuc-phap-luat-lao-dong-cdi | tr.17 | PHẦN II TIỀN LƯƠNG &gt; Trả tiền lương làm thêm giờ. @ | 0.8177
[SOURCE_2] giao trinh Luat lao dong CB 2005 (1) | tr.59 | 4. Trả lương khi làm thêm giờ | 0.7052
[SOURCE_3] ILO-VCCI_Labour-Law-Guide-Book-V04-Final | tr.100 | 1. Tiền lương làm thêm giờ225 &gt; (a) Đối với NLĐ hưởng lương  | 0.5308
[SOURCE_4] ILO-VCCI_Labour-Law-Guide-Book-V04-Final | tr.100 | 1. Tiền lương làm thêm giờ225 &gt; (a) Đối với NLĐ hưởng lương  | 0.5054
[SOURCE_5] ILO-VCCI_Labour-Law-Guide-Book-V04-Final | tr.99 | IV. TIỀN LƯƠNG LÀM THÊM GIỜ, LÀM VIỆC VÀO BAN ĐÊM | 0.4686</t>
        </is>
      </c>
      <c r="R26" s="6" t="inlineStr">
        <is>
          <t>gemini-3.5-flash-lite</t>
        </is>
      </c>
      <c r="S26" s="6" t="n">
        <v>17.2</v>
      </c>
      <c r="T26" s="7" t="n">
        <v>1</v>
      </c>
      <c r="U26" s="7" t="n">
        <v>0.8</v>
      </c>
      <c r="V26" s="6" t="inlineStr">
        <is>
          <t>Yes</t>
        </is>
      </c>
      <c r="W26" s="6" t="inlineStr">
        <is>
          <t>No</t>
        </is>
      </c>
      <c r="X26" s="6" t="inlineStr">
        <is>
          <t>PASS</t>
        </is>
      </c>
      <c r="Y26" s="6" t="inlineStr">
        <is>
          <t>Không trích đúng trang 6 (±1)</t>
        </is>
      </c>
      <c r="Z26" s="6" t="inlineStr">
        <is>
          <t>PASS</t>
        </is>
      </c>
      <c r="AA26" s="6">
        <f>IF(Z26="",X26,Z26)</f>
        <v/>
      </c>
      <c r="AB26" s="6" t="n"/>
      <c r="AC26" s="6" t="inlineStr">
        <is>
          <t>[AI] Đồng ý với chấm tự động</t>
        </is>
      </c>
    </row>
    <row r="27">
      <c r="A27" s="6" t="inlineStr">
        <is>
          <t>LAW_B_006</t>
        </is>
      </c>
      <c r="B27" s="6" t="inlineStr">
        <is>
          <t>Direct Fact</t>
        </is>
      </c>
      <c r="C27" s="6" t="inlineStr">
        <is>
          <t>Sổ tay xếp nghỉ giữa giờ, nghỉ phép và nghỉ việc riêng vào phần nào?</t>
        </is>
      </c>
      <c r="D27" s="6" t="inlineStr">
        <is>
          <t>Thuộc Phần III - Thời gian làm việc và nghỉ ngơi.</t>
        </is>
      </c>
      <c r="E27" s="6" t="inlineStr">
        <is>
          <t>Căn cứ: phần “Phần III - Thời gian làm việc và nghỉ ngơi”, trang 6. 
Nội dung được tài liệu xác nhận: Thuộc Phần III - Thời gian làm việc và nghỉ ngơi.</t>
        </is>
      </c>
      <c r="F27" s="6" t="n">
        <v>6</v>
      </c>
      <c r="G27" s="6" t="inlineStr">
        <is>
          <t>Phần III - Thời gian làm việc và nghỉ ngơi</t>
        </is>
      </c>
      <c r="H27" s="6" t="inlineStr">
        <is>
          <t>nghỉ giữa giờ | nghỉ phép | nghỉ việc riêng</t>
        </is>
      </c>
      <c r="I27" s="6" t="inlineStr">
        <is>
          <t>Easy</t>
        </is>
      </c>
      <c r="J27" s="6" t="inlineStr">
        <is>
          <t>Single Chunk</t>
        </is>
      </c>
      <c r="K27" s="6" t="inlineStr">
        <is>
          <t>Yes</t>
        </is>
      </c>
      <c r="L27" s="6" t="inlineStr">
        <is>
          <t>Answer from document</t>
        </is>
      </c>
      <c r="M27" s="6" t="n"/>
      <c r="N27" s="6" t="inlineStr">
        <is>
          <t>so-tay-kien-thuc-phap-luat-lao-dong-cdi</t>
        </is>
      </c>
      <c r="O27" s="6" t="inlineStr">
        <is>
          <t>Dựa trên tài liệu được cung cấp, tôi không tìm thấy thông tin để trả lời câu hỏi này.</t>
        </is>
      </c>
      <c r="P27" s="6" t="inlineStr"/>
      <c r="Q27" s="6" t="inlineStr"/>
      <c r="R27" s="6" t="inlineStr">
        <is>
          <t>(no LLM call: early exit)</t>
        </is>
      </c>
      <c r="S27" s="6" t="n">
        <v>13.7</v>
      </c>
      <c r="T27" s="7" t="n">
        <v>0</v>
      </c>
      <c r="U27" s="7" t="n">
        <v>0</v>
      </c>
      <c r="V27" s="6" t="inlineStr">
        <is>
          <t>No</t>
        </is>
      </c>
      <c r="W27" s="6" t="inlineStr">
        <is>
          <t>No</t>
        </is>
      </c>
      <c r="X27" s="6" t="inlineStr">
        <is>
          <t>FAIL</t>
        </is>
      </c>
      <c r="Y27" s="6" t="inlineStr">
        <is>
          <t>Từ chối trả lời dù câu hỏi có đáp án</t>
        </is>
      </c>
      <c r="Z27" s="6" t="inlineStr">
        <is>
          <t>FAIL</t>
        </is>
      </c>
      <c r="AA27" s="6">
        <f>IF(Z27="",X27,Z27)</f>
        <v/>
      </c>
      <c r="AB27" s="6" t="inlineStr">
        <is>
          <t>DEF-02</t>
        </is>
      </c>
      <c r="AC27" s="6" t="inlineStr">
        <is>
          <t>[AI] Từ chối câu hỏi điều hướng (Phần III)</t>
        </is>
      </c>
    </row>
    <row r="28">
      <c r="A28" s="6" t="inlineStr">
        <is>
          <t>LAW_B_007</t>
        </is>
      </c>
      <c r="B28" s="6" t="inlineStr">
        <is>
          <t>Direct Fact</t>
        </is>
      </c>
      <c r="C28" s="6" t="inlineStr">
        <is>
          <t>Sổ tay xếp tai nạn lao động và bệnh nghề nghiệp vào phần nào?</t>
        </is>
      </c>
      <c r="D28" s="6" t="inlineStr">
        <is>
          <t>Thuộc Phần IV - An toàn lao động.</t>
        </is>
      </c>
      <c r="E28" s="6" t="inlineStr">
        <is>
          <t>Căn cứ: phần “Phần IV - An toàn lao động”, trang 6. 
Nội dung được tài liệu xác nhận: Thuộc Phần IV - An toàn lao động.</t>
        </is>
      </c>
      <c r="F28" s="6" t="n">
        <v>6</v>
      </c>
      <c r="G28" s="6" t="inlineStr">
        <is>
          <t>Phần IV - An toàn lao động</t>
        </is>
      </c>
      <c r="H28" s="6" t="inlineStr">
        <is>
          <t>an toàn lao động | tai nạn | bệnh nghề nghiệp</t>
        </is>
      </c>
      <c r="I28" s="6" t="inlineStr">
        <is>
          <t>Easy</t>
        </is>
      </c>
      <c r="J28" s="6" t="inlineStr">
        <is>
          <t>Single Chunk</t>
        </is>
      </c>
      <c r="K28" s="6" t="inlineStr">
        <is>
          <t>Yes</t>
        </is>
      </c>
      <c r="L28" s="6" t="inlineStr">
        <is>
          <t>Answer from document</t>
        </is>
      </c>
      <c r="M28" s="6" t="n"/>
      <c r="N28" s="6" t="inlineStr">
        <is>
          <t>so-tay-kien-thuc-phap-luat-lao-dong-cdi</t>
        </is>
      </c>
      <c r="O28" s="6" t="inlineStr">
        <is>
          <t>Dựa trên tài liệu được cung cấp, tôi không tìm thấy thông tin để trả lời câu hỏi này.</t>
        </is>
      </c>
      <c r="P28" s="6" t="inlineStr"/>
      <c r="Q28" s="6" t="inlineStr">
        <is>
          <t>[SOURCE_1] giao trinh Luat lao dong CB 2005 (1) | tr.112 | V. TAI NẠN LAO ĐỘNG VÀ BỆNH NGHỀ NGHIỆP &gt; 1- Khái niệm tai n | 0.8539
[SOURCE_2] luu-ban-nhap-tu-dong-3-4 | tr.142 | Điều 2. Đối tượng áp dụng | 0.7808
[SOURCE_3] luu-ban-nhap-tu-dong-3-4 | tr.112 | Điều 142. Tai nạn lao động | 0.7273
[SOURCE_4] giao trinh Luat lao dong CB 2005 (1) | tr.113 | 2. Trách nhiệm của người sử dụng lao động khi tai nạn lao độ | 0.6928
[SOURCE_5] luu-ban-nhap-tu-dong-3-4 | tr.161 | Điều 38. Trách nhiệm của người sử dụng lao động đối với ngườ | 0.6555</t>
        </is>
      </c>
      <c r="R28" s="6" t="inlineStr">
        <is>
          <t>gemini-3.5-flash-lite</t>
        </is>
      </c>
      <c r="S28" s="6" t="n">
        <v>18.4</v>
      </c>
      <c r="T28" s="7" t="n">
        <v>0</v>
      </c>
      <c r="U28" s="7" t="n">
        <v>0</v>
      </c>
      <c r="V28" s="6" t="inlineStr">
        <is>
          <t>No</t>
        </is>
      </c>
      <c r="W28" s="6" t="inlineStr">
        <is>
          <t>No</t>
        </is>
      </c>
      <c r="X28" s="6" t="inlineStr">
        <is>
          <t>FAIL</t>
        </is>
      </c>
      <c r="Y28" s="6" t="inlineStr">
        <is>
          <t>Từ chối trả lời dù câu hỏi có đáp án</t>
        </is>
      </c>
      <c r="Z28" s="6" t="inlineStr">
        <is>
          <t>FAIL</t>
        </is>
      </c>
      <c r="AA28" s="6">
        <f>IF(Z28="",X28,Z28)</f>
        <v/>
      </c>
      <c r="AB28" s="6" t="inlineStr">
        <is>
          <t>DEF-02</t>
        </is>
      </c>
      <c r="AC28" s="6" t="inlineStr">
        <is>
          <t>[AI] Từ chối câu hỏi điều hướng (Phần IV)</t>
        </is>
      </c>
    </row>
    <row r="29">
      <c r="A29" s="6" t="inlineStr">
        <is>
          <t>LAW_B_008</t>
        </is>
      </c>
      <c r="B29" s="6" t="inlineStr">
        <is>
          <t>Scenario-based</t>
        </is>
      </c>
      <c r="C29" s="6" t="inlineStr">
        <is>
          <t>Một người làm việc tạm thời 2 tháng, hai bên chỉ thỏa thuận miệng về lương và an toàn lao động. Theo tình huống trong sổ tay, có được coi là đã giao kết HĐLĐ không?</t>
        </is>
      </c>
      <c r="D29" s="6" t="inlineStr">
        <is>
          <t>Có. Tài liệu kết luận trường hợp làm tạm thời 2 tháng thuộc trường hợp có thể giao kết bằng lời nói theo quy định mà sổ tay viện dẫn.</t>
        </is>
      </c>
      <c r="E29" s="6" t="inlineStr">
        <is>
          <t>Căn cứ: phần “Phần I - Hợp đồng lao động”
Nội dung được tài liệu xác nhận: Có. Tài liệu kết luận trường hợp làm tạm thời 2 tháng thuộc trường hợp có thể giao kết bằng lời nói theo quy định mà sổ tay viện dẫn.</t>
        </is>
      </c>
      <c r="F29" s="6" t="n"/>
      <c r="G29" s="6" t="inlineStr">
        <is>
          <t>Phần I - Hợp đồng lao động</t>
        </is>
      </c>
      <c r="H29" s="6" t="inlineStr">
        <is>
          <t>2 tháng | lời nói | giao kết HĐLĐ</t>
        </is>
      </c>
      <c r="I29" s="6" t="inlineStr">
        <is>
          <t>Medium</t>
        </is>
      </c>
      <c r="J29" s="6" t="inlineStr">
        <is>
          <t>Single Chunk</t>
        </is>
      </c>
      <c r="K29" s="6" t="inlineStr">
        <is>
          <t>Yes</t>
        </is>
      </c>
      <c r="L29" s="6" t="inlineStr">
        <is>
          <t>Answer from document</t>
        </is>
      </c>
      <c r="M29" s="6" t="n"/>
      <c r="N29" s="6" t="inlineStr">
        <is>
          <t>so-tay-kien-thuc-phap-luat-lao-dong-cdi</t>
        </is>
      </c>
      <c r="O29" s="6" t="inlineStr">
        <is>
          <t>Theo tình huống trong tài liệu, việc giao kết hợp đồng lao động bằng lời nói (thỏa thuận miệng) đối với trường hợp làm công việc tạm thời có thời hạn dưới 03 tháng được pháp luật cho phép [SOURCE_1], [SOURCE_2], [SOURCE_3], [SOURCE_4]. Do đó, trường hợp này được coi là đã giao kết hợp đồng lao động [SOURCE_1].</t>
        </is>
      </c>
      <c r="P29" s="6" t="inlineStr">
        <is>
          <t>[SOURCE_1] so-tay-kien-thuc-phap-luat-lao-dong-cdi | tr.11 | Trả lời: | 0.9955
[SOURCE_2] so-tay-kien-thuc-phap-luat-lao-dong-cdi | tr.11 | Thỏa thuận bằng lời nói có được coi là giao kết hợp đồng lao | 0.9942
[SOURCE_3] giao trinh Luat lao dong CB 2005 (1) | tr.36 | b. Hình thức của hợp đồng lao động | 0.7948
[SOURCE_4] luu-ban-nhap-tu-dong-3-4 | tr.74 | Điều 16. Hình thức hợp đồng lao động | 0.6229</t>
        </is>
      </c>
      <c r="Q29" s="6" t="inlineStr">
        <is>
          <t>[SOURCE_1] so-tay-kien-thuc-phap-luat-lao-dong-cdi | tr.11 | Trả lời: | 0.9955
[SOURCE_2] so-tay-kien-thuc-phap-luat-lao-dong-cdi | tr.11 | Thỏa thuận bằng lời nói có được coi là giao kết hợp đồng lao | 0.9942
[SOURCE_3] giao trinh Luat lao dong CB 2005 (1) | tr.36 | b. Hình thức của hợp đồng lao động | 0.7948
[SOURCE_4] luu-ban-nhap-tu-dong-3-4 | tr.74 | Điều 16. Hình thức hợp đồng lao động | 0.6229
[SOURCE_5] so-tay-kien-thuc-phap-luat-lao-dong-cdi | tr.49 | Trả lời: | 0.5987</t>
        </is>
      </c>
      <c r="R29" s="6" t="inlineStr">
        <is>
          <t>gemini-3.5-flash-lite</t>
        </is>
      </c>
      <c r="S29" s="6" t="n">
        <v>19.4</v>
      </c>
      <c r="T29" s="7" t="n">
        <v>0.6666666666666666</v>
      </c>
      <c r="U29" s="7" t="n">
        <v>0.6086956521739131</v>
      </c>
      <c r="V29" s="6" t="inlineStr">
        <is>
          <t>Yes</t>
        </is>
      </c>
      <c r="W29" s="6" t="inlineStr">
        <is>
          <t>n/a</t>
        </is>
      </c>
      <c r="X29" s="6" t="inlineStr">
        <is>
          <t>PARTIAL</t>
        </is>
      </c>
      <c r="Y29" s="6" t="inlineStr">
        <is>
          <t>Thiếu từ khóa (67%)</t>
        </is>
      </c>
      <c r="Z29" s="6" t="inlineStr">
        <is>
          <t>PASS</t>
        </is>
      </c>
      <c r="AA29" s="6">
        <f>IF(Z29="",X29,Z29)</f>
        <v/>
      </c>
      <c r="AB29" s="6" t="n"/>
      <c r="AC29" s="6" t="inlineStr">
        <is>
          <t>[AI] Kết luận đúng 'được coi là đã giao kết'</t>
        </is>
      </c>
    </row>
    <row r="30">
      <c r="A30" s="6" t="inlineStr">
        <is>
          <t>LAW_B_009</t>
        </is>
      </c>
      <c r="B30" s="6" t="inlineStr">
        <is>
          <t>Concept</t>
        </is>
      </c>
      <c r="C30" s="6" t="inlineStr">
        <is>
          <t>Hợp đồng lao động có ý nghĩa gì khi xảy ra tranh chấp theo sổ tay?</t>
        </is>
      </c>
      <c r="D30" s="6" t="inlineStr">
        <is>
          <t>Là căn cứ thể hiện các thỏa thuận của các bên để xem xét quyền, nghĩa vụ và giải quyết tranh chấp.</t>
        </is>
      </c>
      <c r="E30" s="6" t="inlineStr">
        <is>
          <t>Căn cứ: phần “Phần I - Hợp đồng lao động”
Nội dung được tài liệu xác nhận: Là căn cứ thể hiện các thỏa thuận của các bên để xem xét quyền, nghĩa vụ và giải quyết tranh chấp.</t>
        </is>
      </c>
      <c r="F30" s="6" t="n"/>
      <c r="G30" s="6" t="inlineStr">
        <is>
          <t>Phần I - Hợp đồng lao động</t>
        </is>
      </c>
      <c r="H30" s="6" t="inlineStr">
        <is>
          <t>căn cứ | quyền nghĩa vụ | tranh chấp</t>
        </is>
      </c>
      <c r="I30" s="6" t="inlineStr">
        <is>
          <t>Medium</t>
        </is>
      </c>
      <c r="J30" s="6" t="inlineStr">
        <is>
          <t>Single Chunk</t>
        </is>
      </c>
      <c r="K30" s="6" t="inlineStr">
        <is>
          <t>Yes</t>
        </is>
      </c>
      <c r="L30" s="6" t="inlineStr">
        <is>
          <t>Answer from document</t>
        </is>
      </c>
      <c r="M30" s="6" t="n"/>
      <c r="N30" s="6" t="inlineStr">
        <is>
          <t>so-tay-kien-thuc-phap-luat-lao-dong-cdi</t>
        </is>
      </c>
      <c r="O30" s="6" t="inlineStr">
        <is>
          <t>Theo tài liệu cung cấp, trong quan hệ lao động, hợp đồng là văn bản thể hiện sự thỏa thuận của các bên về công việc, lương, điều kiện làm việc, quyền và nghĩa vụ, do đó đây chính là căn cứ để xem xét nếu xảy ra tranh chấp giữa các bên [SOURCE_1]. 
Việc thực hiện tốt các nguyên tắc của hợp đồng lao động giúp các bên đảm bảo được quyền và nghĩa vụ của mình, tránh xảy ra tranh chấp và kiện tụng ảnh hưởng đến việc làm của cả hai bên [SOURCE_1].</t>
        </is>
      </c>
      <c r="P30" s="6" t="inlineStr">
        <is>
          <t>[SOURCE_1] so-tay-kien-thuc-phap-luat-lao-dong-cdi | tr.11 | Trả lời: | 0.9626</t>
        </is>
      </c>
      <c r="Q30" s="6" t="inlineStr">
        <is>
          <t>[SOURCE_1] so-tay-kien-thuc-phap-luat-lao-dong-cdi | tr.11 | Trả lời: | 0.9626
[SOURCE_2] giao trinh Luat lao dong CB 2005 (1) | tr.33 | 1. Khái niệm, đối tượng áp dụng và các nguyên tắc của hợp đồ | 0.8156
[SOURCE_3] giao trinh Luat lao dong CB 2005 (1) | tr.51 | c. Nguyên tắc công khai | 0.553
[SOURCE_4] giao trinh Luat lao dong CB 2005 (1) | tr.49 | 4. Ý nghĩa của thỏa ước lao động tập thể | 0.4473
[SOURCE_5] giao trinh Luat lao dong CB 2005 (1) | tr.193 | I. TRANH CHẤP LAO ĐỘNG VÀ CƠ QUAN, TỔ CHỨC CÓ THẨM QUYỀN GIẢ | 0.3644</t>
        </is>
      </c>
      <c r="R30" s="6" t="inlineStr">
        <is>
          <t>gemini-3.5-flash-lite</t>
        </is>
      </c>
      <c r="S30" s="6" t="n">
        <v>16.9</v>
      </c>
      <c r="T30" s="7" t="n">
        <v>1</v>
      </c>
      <c r="U30" s="7" t="n">
        <v>0.875</v>
      </c>
      <c r="V30" s="6" t="inlineStr">
        <is>
          <t>Yes</t>
        </is>
      </c>
      <c r="W30" s="6" t="inlineStr">
        <is>
          <t>n/a</t>
        </is>
      </c>
      <c r="X30" s="6" t="inlineStr">
        <is>
          <t>PASS</t>
        </is>
      </c>
      <c r="Y30" s="6" t="inlineStr"/>
      <c r="Z30" s="6" t="inlineStr">
        <is>
          <t>PASS</t>
        </is>
      </c>
      <c r="AA30" s="6">
        <f>IF(Z30="",X30,Z30)</f>
        <v/>
      </c>
      <c r="AB30" s="6" t="n"/>
      <c r="AC30" s="6" t="inlineStr">
        <is>
          <t>[AI] Đồng ý với chấm tự động</t>
        </is>
      </c>
    </row>
    <row r="31">
      <c r="A31" s="6" t="inlineStr">
        <is>
          <t>LAW_B_010</t>
        </is>
      </c>
      <c r="B31" s="6" t="inlineStr">
        <is>
          <t>Navigation</t>
        </is>
      </c>
      <c r="C31" s="6" t="inlineStr">
        <is>
          <t>Muốn tìm câu trả lời về việc công ty có được giữ văn bằng gốc của NLĐ hay không, cần truy xuất phần nào của sổ tay?</t>
        </is>
      </c>
      <c r="D31" s="6" t="inlineStr">
        <is>
          <t>Phần VIII - Khiếu nại, khiếu kiện về lao động.</t>
        </is>
      </c>
      <c r="E31" s="6" t="inlineStr">
        <is>
          <t>Căn cứ: phần “Phần VIII - Khiếu nại, khiếu kiện”, trang 7. 
Nội dung được tài liệu xác nhận: Phần VIII - Khiếu nại, khiếu kiện về lao động.</t>
        </is>
      </c>
      <c r="F31" s="6" t="n">
        <v>7</v>
      </c>
      <c r="G31" s="6" t="inlineStr">
        <is>
          <t>Phần VIII - Khiếu nại, khiếu kiện</t>
        </is>
      </c>
      <c r="H31" s="6" t="inlineStr">
        <is>
          <t>văn bằng gốc | khiếu nại | khiếu kiện</t>
        </is>
      </c>
      <c r="I31" s="6" t="inlineStr">
        <is>
          <t>Medium</t>
        </is>
      </c>
      <c r="J31" s="6" t="inlineStr">
        <is>
          <t>Single Chunk</t>
        </is>
      </c>
      <c r="K31" s="6" t="inlineStr">
        <is>
          <t>Yes</t>
        </is>
      </c>
      <c r="L31" s="6" t="inlineStr">
        <is>
          <t>Answer from document</t>
        </is>
      </c>
      <c r="M31" s="6" t="n"/>
      <c r="N31" s="6" t="inlineStr">
        <is>
          <t>so-tay-kien-thuc-phap-luat-lao-dong-cdi</t>
        </is>
      </c>
      <c r="O31" s="6" t="inlineStr">
        <is>
          <t>Dựa trên tài liệu được cung cấp, để tìm nội dung về việc công ty có được giữ văn bằng gốc của người lao động hay không, bạn cần truy xuất đến phần: **"Công ty có quyền giữ văn bằng gốc hay không?"** (nằm ở trang 49 của sổ tay) [SOURCE_1].</t>
        </is>
      </c>
      <c r="P31" s="6" t="inlineStr">
        <is>
          <t>[SOURCE_1] so-tay-kien-thuc-phap-luat-lao-dong-cdi | tr.49 | Công ty có quyền giữ văn bằng gốc hay không? @ | 0.3578</t>
        </is>
      </c>
      <c r="Q31" s="6" t="inlineStr">
        <is>
          <t>[SOURCE_1] so-tay-kien-thuc-phap-luat-lao-dong-cdi | tr.49 | Công ty có quyền giữ văn bằng gốc hay không? @ | 0.3578</t>
        </is>
      </c>
      <c r="R31" s="6" t="inlineStr">
        <is>
          <t>gemini-3.5-flash-lite</t>
        </is>
      </c>
      <c r="S31" s="6" t="n">
        <v>17.2</v>
      </c>
      <c r="T31" s="7" t="n">
        <v>0.3333333333333333</v>
      </c>
      <c r="U31" s="7" t="n">
        <v>0.375</v>
      </c>
      <c r="V31" s="6" t="inlineStr">
        <is>
          <t>Yes</t>
        </is>
      </c>
      <c r="W31" s="6" t="inlineStr">
        <is>
          <t>No</t>
        </is>
      </c>
      <c r="X31" s="6" t="inlineStr">
        <is>
          <t>PARTIAL</t>
        </is>
      </c>
      <c r="Y31" s="6" t="inlineStr">
        <is>
          <t>Thiếu từ khóa (33%); Ít khớp Expected Answer (38%); Không trích đúng trang 7 (±1)</t>
        </is>
      </c>
      <c r="Z31" s="6" t="inlineStr">
        <is>
          <t>PARTIAL</t>
        </is>
      </c>
      <c r="AA31" s="6">
        <f>IF(Z31="",X31,Z31)</f>
        <v/>
      </c>
      <c r="AB31" s="6" t="inlineStr">
        <is>
          <t>DEF-02</t>
        </is>
      </c>
      <c r="AC31" s="6" t="inlineStr">
        <is>
          <t>[AI] Chỉ tới câu hỏi tr.49 nhưng không nêu 'Phần VIII'</t>
        </is>
      </c>
    </row>
    <row r="32">
      <c r="A32" s="6" t="inlineStr">
        <is>
          <t>LAW_B_011</t>
        </is>
      </c>
      <c r="B32" s="6" t="inlineStr">
        <is>
          <t>Navigation</t>
        </is>
      </c>
      <c r="C32" s="6" t="inlineStr">
        <is>
          <t>Muốn tìm quy trình tiến hành đình công và tiền lương trong ngày đình công, cần truy xuất phần nào?</t>
        </is>
      </c>
      <c r="D32" s="6" t="inlineStr">
        <is>
          <t>Phần VII - Đình công.</t>
        </is>
      </c>
      <c r="E32" s="6" t="inlineStr">
        <is>
          <t>Căn cứ: phần “Phần VII - Đình công”, trang 7. 
Nội dung được tài liệu xác nhận: Phần VII - Đình công.</t>
        </is>
      </c>
      <c r="F32" s="6" t="n">
        <v>7</v>
      </c>
      <c r="G32" s="6" t="inlineStr">
        <is>
          <t>Phần VII - Đình công</t>
        </is>
      </c>
      <c r="H32" s="6" t="inlineStr">
        <is>
          <t>đình công | trình tự | tiền lương</t>
        </is>
      </c>
      <c r="I32" s="6" t="inlineStr">
        <is>
          <t>Medium</t>
        </is>
      </c>
      <c r="J32" s="6" t="inlineStr">
        <is>
          <t>Single Chunk</t>
        </is>
      </c>
      <c r="K32" s="6" t="inlineStr">
        <is>
          <t>Yes</t>
        </is>
      </c>
      <c r="L32" s="6" t="inlineStr">
        <is>
          <t>Answer from document</t>
        </is>
      </c>
      <c r="M32" s="6" t="n"/>
      <c r="N32" s="6" t="inlineStr">
        <is>
          <t>so-tay-kien-thuc-phap-luat-lao-dong-cdi</t>
        </is>
      </c>
      <c r="O32" s="6" t="inlineStr">
        <is>
          <t>Dựa trên tài liệu được cung cấp, để tìm quy trình tiến hành đình công, bạn cần truy xuất các phần sau:
- Trình tự đình công theo Điều 200 (bao gồm lấy ý kiến, ra quyết định và thông báo đình công, tiến hành đình công) [SOURCE_1].
- Trình tự, thủ tục tiến hành đình công (cụ thể về việc thông báo việc đình công, các yêu cầu khi gửi bản thông báo và những điều lưu ý trước, trong, sau khi đình công) [SOURCE_2].
Dựa trên tài liệu được cung cấp, tôi không tìm thấy thông tin về tiền lương trong ngày đình công.</t>
        </is>
      </c>
      <c r="P32" s="6" t="inlineStr">
        <is>
          <t>[SOURCE_1] Văn-bản-hợp-nhất-18-VBHN-VPQH | tr.76 | Điều 200. Trình tự đình công | 0.4017
[SOURCE_2] giao trinh Luat lao dong CB 2005 (1) | tr.206 | 2. Trình tự, thủ tục tiến hành đình công | 0.393</t>
        </is>
      </c>
      <c r="Q32" s="6" t="inlineStr">
        <is>
          <t>[SOURCE_1] Văn-bản-hợp-nhất-18-VBHN-VPQH | tr.76 | Điều 200. Trình tự đình công | 0.4017
[SOURCE_2] giao trinh Luat lao dong CB 2005 (1) | tr.206 | 2. Trình tự, thủ tục tiến hành đình công | 0.393</t>
        </is>
      </c>
      <c r="R32" s="6" t="inlineStr">
        <is>
          <t>gemini-3.5-flash-lite</t>
        </is>
      </c>
      <c r="S32" s="6" t="n">
        <v>14.1</v>
      </c>
      <c r="T32" s="7" t="n">
        <v>1</v>
      </c>
      <c r="U32" s="7" t="n">
        <v>0.75</v>
      </c>
      <c r="V32" s="6" t="inlineStr">
        <is>
          <t>No</t>
        </is>
      </c>
      <c r="W32" s="6" t="inlineStr">
        <is>
          <t>No</t>
        </is>
      </c>
      <c r="X32" s="6" t="inlineStr">
        <is>
          <t>PARTIAL</t>
        </is>
      </c>
      <c r="Y32" s="6" t="inlineStr">
        <is>
          <t>Không trích tài liệu mong đợi (không có trong ngữ cảnh); Không trích đúng trang 7 (±1)</t>
        </is>
      </c>
      <c r="Z32" s="6" t="inlineStr">
        <is>
          <t>FAIL</t>
        </is>
      </c>
      <c r="AA32" s="6">
        <f>IF(Z32="",X32,Z32)</f>
        <v/>
      </c>
      <c r="AB32" s="6" t="inlineStr">
        <is>
          <t>DEF-02</t>
        </is>
      </c>
      <c r="AC32" s="6" t="inlineStr">
        <is>
          <t>[AI] Không nêu 'Phần VII - Đình công'; trả lời bằng Điều 200 VBHN và giáo trình</t>
        </is>
      </c>
    </row>
    <row r="33">
      <c r="A33" s="6" t="inlineStr">
        <is>
          <t>LAW_B_012</t>
        </is>
      </c>
      <c r="B33" s="6" t="inlineStr">
        <is>
          <t>Navigation</t>
        </is>
      </c>
      <c r="C33" s="6" t="inlineStr">
        <is>
          <t>Câu hỏi về quyền lợi của phụ nữ mang thai và chế độ nghỉ thai sản nằm ở phần nào?</t>
        </is>
      </c>
      <c r="D33" s="6" t="inlineStr">
        <is>
          <t>Phần VI - Chế độ đối với lao động nữ.</t>
        </is>
      </c>
      <c r="E33" s="6" t="inlineStr">
        <is>
          <t>Căn cứ: phần “Phần VI - Lao động nữ”, trang 7. 
Nội dung được tài liệu xác nhận: Phần VI - Chế độ đối với lao động nữ.</t>
        </is>
      </c>
      <c r="F33" s="6" t="n">
        <v>7</v>
      </c>
      <c r="G33" s="6" t="inlineStr">
        <is>
          <t>Phần VI - Lao động nữ</t>
        </is>
      </c>
      <c r="H33" s="6" t="inlineStr">
        <is>
          <t>mang thai | thai sản | lao động nữ</t>
        </is>
      </c>
      <c r="I33" s="6" t="inlineStr">
        <is>
          <t>Medium</t>
        </is>
      </c>
      <c r="J33" s="6" t="inlineStr">
        <is>
          <t>Single Chunk</t>
        </is>
      </c>
      <c r="K33" s="6" t="inlineStr">
        <is>
          <t>Yes</t>
        </is>
      </c>
      <c r="L33" s="6" t="inlineStr">
        <is>
          <t>Answer from document</t>
        </is>
      </c>
      <c r="M33" s="6" t="n"/>
      <c r="N33" s="6" t="inlineStr">
        <is>
          <t>so-tay-kien-thuc-phap-luat-lao-dong-cdi</t>
        </is>
      </c>
      <c r="O33" s="6" t="inlineStr">
        <is>
          <t>Dựa trên tài liệu được cung cấp, thông tin về quyền lợi của phụ nữ khi mang thai và nuôi con nhỏ nằm ở **Phần VI: Chế độ đối vối lao động nữ** (với câu hỏi "Quyền lợi của phụ nữ khi mang thai và nuôi con nhỏ như thế nào?") [SOURCE_1]. 
Bên cạnh đó, các nội dung liên quan đến chế độ thai sản còn nằm ở **Điều 7. Chế độ thai sản** [SOURCE_2], **Điều 155. Bảo vệ thai sản đối với lao động nữ** [SOURCE_3], **Điều 35. Chế độ thai sản của lao động nữ mang thai hộ và người mẹ nhờ mang thai hộ** [SOURCE_4], và **Điều 139. Nghỉ thai sản** [SOURCE_5].</t>
        </is>
      </c>
      <c r="P33" s="6" t="inlineStr">
        <is>
          <t>[SOURCE_1] so-tay-kien-thuc-phap-luat-lao-dong-cdi | tr.37 | PHẦN VI CHẾ ĐỘ ĐỐI VỚI LAO ĐỘNG NỮ &gt; Quyền lợi của phụ nữ kh | 0.8872
[SOURCE_2] luu-ban-nhap-tu-dong-3-4 | tr.439 | Điều 7. Chế độ thai sản | 0.6854
[SOURCE_3] luu-ban-nhap-tu-dong-3-4 | tr.116 | Điều 155. Bảo vệ thai sản đối với lao động nữ | 0.6805
[SOURCE_4] luu-ban-nhap-tu-dong-3-4 | tr.231 | Điều 35. Chế độ thai sản của lao động nữ mang thai hộ và ngư | 0.5607
[SOURCE_5] Văn-bản-hợp-nhất-18-VBHN-VPQH | tr.52 | Điều 139. Nghỉ thai sản | 0.5334</t>
        </is>
      </c>
      <c r="Q33" s="6" t="inlineStr">
        <is>
          <t>[SOURCE_1] so-tay-kien-thuc-phap-luat-lao-dong-cdi | tr.37 | PHẦN VI CHẾ ĐỘ ĐỐI VỚI LAO ĐỘNG NỮ &gt; Quyền lợi của phụ nữ kh | 0.8872
[SOURCE_2] luu-ban-nhap-tu-dong-3-4 | tr.439 | Điều 7. Chế độ thai sản | 0.6854
[SOURCE_3] luu-ban-nhap-tu-dong-3-4 | tr.116 | Điều 155. Bảo vệ thai sản đối với lao động nữ | 0.6805
[SOURCE_4] luu-ban-nhap-tu-dong-3-4 | tr.231 | Điều 35. Chế độ thai sản của lao động nữ mang thai hộ và ngư | 0.5607
[SOURCE_5] Văn-bản-hợp-nhất-18-VBHN-VPQH | tr.52 | Điều 139. Nghỉ thai sản | 0.5334</t>
        </is>
      </c>
      <c r="R33" s="6" t="inlineStr">
        <is>
          <t>gemini-3.5-flash-lite</t>
        </is>
      </c>
      <c r="S33" s="6" t="n">
        <v>13.2</v>
      </c>
      <c r="T33" s="7" t="n">
        <v>1</v>
      </c>
      <c r="U33" s="7" t="n">
        <v>1</v>
      </c>
      <c r="V33" s="6" t="inlineStr">
        <is>
          <t>Yes</t>
        </is>
      </c>
      <c r="W33" s="6" t="inlineStr">
        <is>
          <t>No</t>
        </is>
      </c>
      <c r="X33" s="6" t="inlineStr">
        <is>
          <t>PASS</t>
        </is>
      </c>
      <c r="Y33" s="6" t="inlineStr">
        <is>
          <t>Không trích đúng trang 7 (±1)</t>
        </is>
      </c>
      <c r="Z33" s="6" t="inlineStr">
        <is>
          <t>PASS</t>
        </is>
      </c>
      <c r="AA33" s="6">
        <f>IF(Z33="",X33,Z33)</f>
        <v/>
      </c>
      <c r="AB33" s="6" t="n"/>
      <c r="AC33" s="6" t="inlineStr">
        <is>
          <t>[AI] Đồng ý với chấm tự động</t>
        </is>
      </c>
    </row>
    <row r="34">
      <c r="A34" s="6" t="inlineStr">
        <is>
          <t>LAW_B_013</t>
        </is>
      </c>
      <c r="B34" s="6" t="inlineStr">
        <is>
          <t>Navigation</t>
        </is>
      </c>
      <c r="C34" s="6" t="inlineStr">
        <is>
          <t>Câu hỏi về sa thải trái pháp luật và trách nhiệm của NSDLĐ khi sa thải trái pháp luật nằm ở đâu?</t>
        </is>
      </c>
      <c r="D34" s="6" t="inlineStr">
        <is>
          <t>Phần V - Kỷ luật lao động.</t>
        </is>
      </c>
      <c r="E34" s="6" t="inlineStr">
        <is>
          <t>Căn cứ: phần “Phần V - Kỷ luật lao động”, trang 7. Nội dung được tài liệu xác nhận: Phần V - Kỷ luật lao động.</t>
        </is>
      </c>
      <c r="F34" s="6" t="n">
        <v>7</v>
      </c>
      <c r="G34" s="6" t="inlineStr">
        <is>
          <t>Phần V - Kỷ luật lao động</t>
        </is>
      </c>
      <c r="H34" s="6" t="inlineStr">
        <is>
          <t>sa thải trái pháp luật | trách nhiệm NSDLĐ</t>
        </is>
      </c>
      <c r="I34" s="6" t="inlineStr">
        <is>
          <t>Medium</t>
        </is>
      </c>
      <c r="J34" s="6" t="inlineStr">
        <is>
          <t>Single Chunk</t>
        </is>
      </c>
      <c r="K34" s="6" t="inlineStr">
        <is>
          <t>Yes</t>
        </is>
      </c>
      <c r="L34" s="6" t="inlineStr">
        <is>
          <t>Answer from document</t>
        </is>
      </c>
      <c r="M34" s="6" t="n"/>
      <c r="N34" s="6" t="inlineStr">
        <is>
          <t>so-tay-kien-thuc-phap-luat-lao-dong-cdi</t>
        </is>
      </c>
      <c r="O34" s="6" t="inlineStr">
        <is>
          <t>Dựa trên tài liệu được cung cấp, nội dung về trách nhiệm của người sử dụng lao động khi sa thải trái pháp luật nằm ở phần **"Trách nhiệm của người sử dụng lao động khi sa thải trái pháp luật?"** tại trang 34 của tài liệu *so-tay-kien-thuc-phap-luat-lao-dong-cdi.pdf* [SOURCE_3]. 
Ngoài ra, các quy định liên quan đến nghĩa vụ của người sử dụng lao động trong trường hợp kỷ luật lao động bằng hình thức sa thải trái pháp luật cũng được đề cập tại Điều 33 về khiếu nại về kỷ luật lao động, trách nhiệm vật chất (trang 429) [SOURCE_5].</t>
        </is>
      </c>
      <c r="P34" s="6" t="inlineStr">
        <is>
          <t>[SOURCE_3] so-tay-kien-thuc-phap-luat-lao-dong-cdi | tr.34 | Trách nhiệm của người sử dụng lao động khi sa thải trái pháp | 0.7922
[SOURCE_5] luu-ban-nhap-tu-dong-3-4 | tr.429 | Điều 33. Khiếu nại về kỷ luật lao động, trách nhiệm vật chất | 0.6692</t>
        </is>
      </c>
      <c r="Q34" s="6" t="inlineStr">
        <is>
          <t>[SOURCE_1] ILO-VCCI_Labour-Law-Guide-Book-V04-Final | tr.47 | 1. NSDLĐ đơn phương chấm dứt HĐLĐ trái pháp luật &gt; (a) Trách | 0.9531
[SOURCE_2] ILO-VCCI_Labour-Law-Guide-Book-V04-Final | tr.46 | 1. NSDLĐ đơn phương chấm dứt HĐLĐ trái pháp luật &gt; (a) Trách | 0.9454
[SOURCE_3] so-tay-kien-thuc-phap-luat-lao-dong-cdi | tr.34 | Trách nhiệm của người sử dụng lao động khi sa thải trái pháp | 0.7922
[SOURCE_4] ILO-VCCI_Labour-Law-Guide-Book-V04-Final | tr.6 | MỤC LỤC | 0.7576
[SOURCE_5] luu-ban-nhap-tu-dong-3-4 | tr.429 | Điều 33. Khiếu nại về kỷ luật lao động, trách nhiệm vật chất | 0.6692</t>
        </is>
      </c>
      <c r="R34" s="6" t="inlineStr">
        <is>
          <t>gemini-3.5-flash-lite</t>
        </is>
      </c>
      <c r="S34" s="6" t="n">
        <v>20.5</v>
      </c>
      <c r="T34" s="7" t="n">
        <v>0.5</v>
      </c>
      <c r="U34" s="7" t="n">
        <v>1</v>
      </c>
      <c r="V34" s="6" t="inlineStr">
        <is>
          <t>Yes</t>
        </is>
      </c>
      <c r="W34" s="6" t="inlineStr">
        <is>
          <t>No</t>
        </is>
      </c>
      <c r="X34" s="6" t="inlineStr">
        <is>
          <t>PARTIAL</t>
        </is>
      </c>
      <c r="Y34" s="6" t="inlineStr">
        <is>
          <t>Thiếu từ khóa (50%); Không trích đúng trang 7 (±1)</t>
        </is>
      </c>
      <c r="Z34" s="6" t="inlineStr">
        <is>
          <t>PARTIAL</t>
        </is>
      </c>
      <c r="AA34" s="6">
        <f>IF(Z34="",X34,Z34)</f>
        <v/>
      </c>
      <c r="AB34" s="6" t="inlineStr">
        <is>
          <t>DEF-02</t>
        </is>
      </c>
      <c r="AC34" s="6" t="inlineStr">
        <is>
          <t>[AI] Chỉ tới câu hỏi tr.34 nhưng không nêu 'Phần V'</t>
        </is>
      </c>
    </row>
    <row r="35">
      <c r="A35" s="6" t="inlineStr">
        <is>
          <t>LAW_B_014</t>
        </is>
      </c>
      <c r="B35" s="6" t="inlineStr">
        <is>
          <t>Navigation</t>
        </is>
      </c>
      <c r="C35" s="6" t="inlineStr">
        <is>
          <t>Nếu NLĐ làm mất tài sản của doanh nghiệp, sổ tay định hướng tra cứu nội dung nào?</t>
        </is>
      </c>
      <c r="D35" s="6" t="inlineStr">
        <is>
          <t>Tra cứu câu hỏi “Bồi thường thiệt hại do làm mất tài sản?” trong Phần V - Kỷ luật lao động.</t>
        </is>
      </c>
      <c r="E35" s="6" t="inlineStr">
        <is>
          <t>Căn cứ: phần “Phần V - Kỷ luật lao động”, trang 7. Nội dung được tài liệu xác nhận: Tra cứu câu hỏi “Bồi thường thiệt hại do làm mất tài sản?” trong Phần V - Kỷ luật lao động.</t>
        </is>
      </c>
      <c r="F35" s="6" t="n">
        <v>7</v>
      </c>
      <c r="G35" s="6" t="inlineStr">
        <is>
          <t>Phần V - Kỷ luật lao động</t>
        </is>
      </c>
      <c r="H35" s="6" t="inlineStr">
        <is>
          <t>bồi thường | mất tài sản | kỷ luật</t>
        </is>
      </c>
      <c r="I35" s="6" t="inlineStr">
        <is>
          <t>Medium</t>
        </is>
      </c>
      <c r="J35" s="6" t="inlineStr">
        <is>
          <t>Single Chunk</t>
        </is>
      </c>
      <c r="K35" s="6" t="inlineStr">
        <is>
          <t>Yes</t>
        </is>
      </c>
      <c r="L35" s="6" t="inlineStr">
        <is>
          <t>Answer from document</t>
        </is>
      </c>
      <c r="M35" s="6" t="n"/>
      <c r="N35" s="6" t="inlineStr">
        <is>
          <t>so-tay-kien-thuc-phap-luat-lao-dong-cdi</t>
        </is>
      </c>
      <c r="O35" s="6" t="inlineStr">
        <is>
          <t>Dựa trên tài liệu được cung cấp, tôi không tìm thấy thông tin để trả lời câu hỏi này.</t>
        </is>
      </c>
      <c r="P35" s="6" t="inlineStr"/>
      <c r="Q35" s="6" t="inlineStr"/>
      <c r="R35" s="6" t="inlineStr">
        <is>
          <t>(no LLM call: early exit)</t>
        </is>
      </c>
      <c r="S35" s="6" t="n">
        <v>16.5</v>
      </c>
      <c r="T35" s="7" t="n">
        <v>0</v>
      </c>
      <c r="U35" s="7" t="n">
        <v>0.1176470588235294</v>
      </c>
      <c r="V35" s="6" t="inlineStr">
        <is>
          <t>No</t>
        </is>
      </c>
      <c r="W35" s="6" t="inlineStr">
        <is>
          <t>No</t>
        </is>
      </c>
      <c r="X35" s="6" t="inlineStr">
        <is>
          <t>FAIL</t>
        </is>
      </c>
      <c r="Y35" s="6" t="inlineStr">
        <is>
          <t>Từ chối trả lời dù câu hỏi có đáp án</t>
        </is>
      </c>
      <c r="Z35" s="6" t="inlineStr">
        <is>
          <t>FAIL</t>
        </is>
      </c>
      <c r="AA35" s="6">
        <f>IF(Z35="",X35,Z35)</f>
        <v/>
      </c>
      <c r="AB35" s="6" t="inlineStr">
        <is>
          <t>DEF-02</t>
        </is>
      </c>
      <c r="AC35" s="6" t="inlineStr">
        <is>
          <t>[AI] Từ chối câu hỏi điều hướng</t>
        </is>
      </c>
    </row>
    <row r="36">
      <c r="A36" s="6" t="inlineStr">
        <is>
          <t>LAW_B_015</t>
        </is>
      </c>
      <c r="B36" s="6" t="inlineStr">
        <is>
          <t>Multi-hop</t>
        </is>
      </c>
      <c r="C36" s="6" t="inlineStr">
        <is>
          <t>Một NLĐ vừa hỏi về nghỉ phép vừa hỏi về lương làm thêm giờ. RAG cần lấy tối thiểu từ những phần nào của sổ tay?</t>
        </is>
      </c>
      <c r="D36" s="6" t="inlineStr">
        <is>
          <t>Ít nhất từ Phần II - Tiền lương (lương làm thêm giờ) và Phần III - Thời gian làm việc và nghỉ ngơi (nghỉ phép).</t>
        </is>
      </c>
      <c r="E36" s="6" t="inlineStr">
        <is>
          <t>Căn cứ: phần “Phần II + III”, trang 6. Nội dung được tài liệu xác nhận: Ít nhất từ Phần II - Tiền lương (lương làm thêm giờ) và Phần III - Thời gian làm việc và nghỉ ngơi (nghỉ phép).</t>
        </is>
      </c>
      <c r="F36" s="6" t="n">
        <v>6</v>
      </c>
      <c r="G36" s="6" t="inlineStr">
        <is>
          <t>Phần II + III</t>
        </is>
      </c>
      <c r="H36" s="6" t="inlineStr">
        <is>
          <t>tiền lương | làm thêm | nghỉ phép</t>
        </is>
      </c>
      <c r="I36" s="6" t="inlineStr">
        <is>
          <t>Hard</t>
        </is>
      </c>
      <c r="J36" s="6" t="inlineStr">
        <is>
          <t>Multiple Chunks</t>
        </is>
      </c>
      <c r="K36" s="6" t="inlineStr">
        <is>
          <t>Yes</t>
        </is>
      </c>
      <c r="L36" s="6" t="inlineStr">
        <is>
          <t>Answer from document</t>
        </is>
      </c>
      <c r="M36" s="6" t="n"/>
      <c r="N36" s="6" t="inlineStr">
        <is>
          <t>so-tay-kien-thuc-phap-luat-lao-dong-cdi</t>
        </is>
      </c>
      <c r="O36" s="6" t="inlineStr">
        <is>
          <t>Dựa trên tài liệu được cung cấp, tôi không tìm thấy thông tin để trả lời câu hỏi này.</t>
        </is>
      </c>
      <c r="P36" s="6" t="inlineStr"/>
      <c r="Q36" s="6" t="inlineStr"/>
      <c r="R36" s="6" t="inlineStr">
        <is>
          <t>(no LLM call: early exit)</t>
        </is>
      </c>
      <c r="S36" s="6" t="n">
        <v>25.1</v>
      </c>
      <c r="T36" s="7" t="n">
        <v>0</v>
      </c>
      <c r="U36" s="7" t="n">
        <v>0</v>
      </c>
      <c r="V36" s="6" t="inlineStr">
        <is>
          <t>No</t>
        </is>
      </c>
      <c r="W36" s="6" t="inlineStr">
        <is>
          <t>No</t>
        </is>
      </c>
      <c r="X36" s="6" t="inlineStr">
        <is>
          <t>FAIL</t>
        </is>
      </c>
      <c r="Y36" s="6" t="inlineStr">
        <is>
          <t>Từ chối trả lời dù câu hỏi có đáp án</t>
        </is>
      </c>
      <c r="Z36" s="6" t="inlineStr">
        <is>
          <t>FAIL</t>
        </is>
      </c>
      <c r="AA36" s="6">
        <f>IF(Z36="",X36,Z36)</f>
        <v/>
      </c>
      <c r="AB36" s="6" t="inlineStr">
        <is>
          <t>DEF-03</t>
        </is>
      </c>
      <c r="AC36" s="6" t="inlineStr">
        <is>
          <t>[AI] Từ chối câu hỏi gộp 2 chủ đề</t>
        </is>
      </c>
    </row>
    <row r="37">
      <c r="A37" s="6" t="inlineStr">
        <is>
          <t>LAW_B_016</t>
        </is>
      </c>
      <c r="B37" s="6" t="inlineStr">
        <is>
          <t>Multi-hop</t>
        </is>
      </c>
      <c r="C37" s="6" t="inlineStr">
        <is>
          <t>Một vụ việc có tai nạn lao động và sau đó phát sinh khiếu kiện. Để trả lời theo cấu trúc sổ tay, cần kết hợp những phần nào?</t>
        </is>
      </c>
      <c r="D37" s="6" t="inlineStr">
        <is>
          <t>Cần kết hợp Phần IV - An toàn lao động với Phần VIII - Khiếu nại, khiếu kiện về lao động.</t>
        </is>
      </c>
      <c r="E37" s="6" t="inlineStr">
        <is>
          <t>Căn cứ: phần “Phần IV + VIII”, trang 6. Nội dung được tài liệu xác nhận: Cần kết hợp Phần IV - An toàn lao động với Phần VIII - Khiếu nại, khiếu kiện về lao động.</t>
        </is>
      </c>
      <c r="F37" s="6" t="n">
        <v>6</v>
      </c>
      <c r="G37" s="6" t="inlineStr">
        <is>
          <t>Phần IV + VIII</t>
        </is>
      </c>
      <c r="H37" s="6" t="inlineStr">
        <is>
          <t>tai nạn lao động | khiếu nại | khiếu kiện</t>
        </is>
      </c>
      <c r="I37" s="6" t="inlineStr">
        <is>
          <t>Hard</t>
        </is>
      </c>
      <c r="J37" s="6" t="inlineStr">
        <is>
          <t>Multiple Chunks</t>
        </is>
      </c>
      <c r="K37" s="6" t="inlineStr">
        <is>
          <t>Yes</t>
        </is>
      </c>
      <c r="L37" s="6" t="inlineStr">
        <is>
          <t>Answer from document</t>
        </is>
      </c>
      <c r="M37" s="6" t="n"/>
      <c r="N37" s="6" t="inlineStr">
        <is>
          <t>so-tay-kien-thuc-phap-luat-lao-dong-cdi</t>
        </is>
      </c>
      <c r="O37" s="6" t="inlineStr">
        <is>
          <t>Dựa trên tài liệu được cung cấp, tôi không tìm thấy thông tin để trả lời câu hỏi này.</t>
        </is>
      </c>
      <c r="P37" s="6" t="inlineStr"/>
      <c r="Q37" s="6" t="inlineStr"/>
      <c r="R37" s="6" t="inlineStr">
        <is>
          <t>(no LLM call: early exit)</t>
        </is>
      </c>
      <c r="S37" s="6" t="n">
        <v>17.7</v>
      </c>
      <c r="T37" s="7" t="n">
        <v>0</v>
      </c>
      <c r="U37" s="7" t="n">
        <v>0</v>
      </c>
      <c r="V37" s="6" t="inlineStr">
        <is>
          <t>No</t>
        </is>
      </c>
      <c r="W37" s="6" t="inlineStr">
        <is>
          <t>No</t>
        </is>
      </c>
      <c r="X37" s="6" t="inlineStr">
        <is>
          <t>FAIL</t>
        </is>
      </c>
      <c r="Y37" s="6" t="inlineStr">
        <is>
          <t>Từ chối trả lời dù câu hỏi có đáp án</t>
        </is>
      </c>
      <c r="Z37" s="6" t="inlineStr">
        <is>
          <t>FAIL</t>
        </is>
      </c>
      <c r="AA37" s="6">
        <f>IF(Z37="",X37,Z37)</f>
        <v/>
      </c>
      <c r="AB37" s="6" t="inlineStr">
        <is>
          <t>DEF-03</t>
        </is>
      </c>
      <c r="AC37" s="6" t="inlineStr">
        <is>
          <t>[AI] Từ chối câu hỏi gộp 2 chủ đề</t>
        </is>
      </c>
    </row>
    <row r="38">
      <c r="A38" s="6" t="inlineStr">
        <is>
          <t>LAW_B_017</t>
        </is>
      </c>
      <c r="B38" s="6" t="inlineStr">
        <is>
          <t>False Premise</t>
        </is>
      </c>
      <c r="C38" s="6" t="inlineStr">
        <is>
          <t>“Mọi hợp đồng lao động đều bắt buộc phải lập thành văn bản” có phù hợp với nội dung sổ tay không?</t>
        </is>
      </c>
      <c r="D38" s="6" t="inlineStr">
        <is>
          <t>Không. Sổ tay nêu hai hình thức là văn bản và lời nói, trong đó lời nói được áp dụng cho công việc tạm thời dưới 03 tháng theo quy định mà tài liệu viện dẫn.</t>
        </is>
      </c>
      <c r="E38" s="6" t="inlineStr">
        <is>
          <t>Căn cứ: phần “Phần I - Hợp đồng lao động”, trang None. Nội dung được tài liệu xác nhận: Không. Sổ tay nêu hai hình thức là văn bản và lời nói, trong đó lời nói được áp dụng cho công việc tạm thời dưới 03 tháng theo quy định mà tài liệu viện dẫn.</t>
        </is>
      </c>
      <c r="F38" s="6" t="n"/>
      <c r="G38" s="6" t="inlineStr">
        <is>
          <t>Phần I - Hợp đồng lao động</t>
        </is>
      </c>
      <c r="H38" s="6" t="inlineStr">
        <is>
          <t>văn bản | lời nói | dưới 03 tháng</t>
        </is>
      </c>
      <c r="I38" s="6" t="inlineStr">
        <is>
          <t>Hard</t>
        </is>
      </c>
      <c r="J38" s="6" t="inlineStr">
        <is>
          <t>Single Chunk</t>
        </is>
      </c>
      <c r="K38" s="6" t="inlineStr">
        <is>
          <t>Yes</t>
        </is>
      </c>
      <c r="L38" s="6" t="inlineStr">
        <is>
          <t>Answer from document</t>
        </is>
      </c>
      <c r="M38" s="6" t="n"/>
      <c r="N38" s="6" t="inlineStr">
        <is>
          <t>so-tay-kien-thuc-phap-luat-lao-dong-cdi</t>
        </is>
      </c>
      <c r="O38" s="6" t="inlineStr">
        <is>
          <t>Dựa trên tài liệu được cung cấp, nhận định “Mọi hợp đồng lao động đều bắt buộc phải lập thành văn bản” là không hoàn toàn phù hợp với nội dung sổ tay [SOURCE_1]. 
Theo Luật Lao động 2012 (có hiệu lực từ 01/5/2013), mọi hợp đồng lao động phải được giao kết bằng văn bản, ngoại trừ trường hợp hợp đồng để làm các công việc tạm thời có thời hạn dưới 03 tháng thì có thể được giao kết bằng lời nói [SOURCE_1].</t>
        </is>
      </c>
      <c r="P38" s="6" t="inlineStr">
        <is>
          <t>[SOURCE_1] so-tay-kien-thuc-phap-luat-lao-dong-cdi | tr.49 | Trả lời: | 0.606</t>
        </is>
      </c>
      <c r="Q38" s="6" t="inlineStr">
        <is>
          <t>[SOURCE_1] so-tay-kien-thuc-phap-luat-lao-dong-cdi | tr.49 | Trả lời: | 0.606
[SOURCE_2] Văn-bản-hợp-nhất-18-VBHN-VPQH | tr.7 | Điều 14. Hình thức hợp đồng lao động | 0.44
[SOURCE_3] giao trinh Luat lao dong CB 2005 (1) | tr.36 | b. Hình thức của hợp đồng lao động | 0.375</t>
        </is>
      </c>
      <c r="R38" s="6" t="inlineStr">
        <is>
          <t>gemini-3.5-flash-lite</t>
        </is>
      </c>
      <c r="S38" s="6" t="n">
        <v>19.5</v>
      </c>
      <c r="T38" s="7" t="n">
        <v>1</v>
      </c>
      <c r="U38" s="7" t="n">
        <v>0.64</v>
      </c>
      <c r="V38" s="6" t="inlineStr">
        <is>
          <t>Yes</t>
        </is>
      </c>
      <c r="W38" s="6" t="inlineStr">
        <is>
          <t>n/a</t>
        </is>
      </c>
      <c r="X38" s="6" t="inlineStr">
        <is>
          <t>PASS</t>
        </is>
      </c>
      <c r="Y38" s="6" t="inlineStr"/>
      <c r="Z38" s="6" t="inlineStr">
        <is>
          <t>PASS</t>
        </is>
      </c>
      <c r="AA38" s="6">
        <f>IF(Z38="",X38,Z38)</f>
        <v/>
      </c>
      <c r="AB38" s="6" t="n"/>
      <c r="AC38" s="6" t="inlineStr">
        <is>
          <t>[AI] Kết luận đúng; faithfulness 0,67 vì câu 'không hoàn toàn phù hợp' diễn giải thêm</t>
        </is>
      </c>
    </row>
    <row r="39">
      <c r="A39" s="6" t="inlineStr">
        <is>
          <t>LAW_B_018</t>
        </is>
      </c>
      <c r="B39" s="6" t="inlineStr">
        <is>
          <t>Source-awareness</t>
        </is>
      </c>
      <c r="C39" s="6" t="inlineStr">
        <is>
          <t>Nếu người dùng hỏi pháp luật hiện hành 2026, RAG có nên trả lời trực tiếp theo ngưỡng “dưới 03 tháng” của sổ tay không?</t>
        </is>
      </c>
      <c r="D39" s="6" t="inlineStr">
        <is>
          <t>Không nên coi đó là quy định hiện hành chỉ dựa vào sổ tay này. Cần nêu đây là nội dung của tài liệu và ưu tiên/đối chiếu nguồn pháp luật cập nhật hơn nếu câu hỏi yêu cầu hiện hành.</t>
        </is>
      </c>
      <c r="E39" s="6" t="inlineStr">
        <is>
          <t>Căn cứ: phần “Phần I - Hợp đồng lao động”, trang 11. Nội dung được tài liệu xác nhận: Không nên coi đó là quy định hiện hành chỉ dựa vào sổ tay này. Cần nêu đây là nội dung của tài liệu và ưu tiên/đối chiếu nguồn pháp luật cập nhật hơn nếu câu hỏi yêu cầu hiện hành.</t>
        </is>
      </c>
      <c r="F39" s="6" t="n">
        <v>11</v>
      </c>
      <c r="G39" s="6" t="inlineStr">
        <is>
          <t>Phần I - Hợp đồng lao động</t>
        </is>
      </c>
      <c r="H39" s="6" t="inlineStr">
        <is>
          <t>nguồn cũ | thời điểm | quy định hiện hành</t>
        </is>
      </c>
      <c r="I39" s="6" t="inlineStr">
        <is>
          <t>Hard</t>
        </is>
      </c>
      <c r="J39" s="6" t="inlineStr">
        <is>
          <t>Multiple Chunks</t>
        </is>
      </c>
      <c r="K39" s="6" t="inlineStr">
        <is>
          <t>Yes</t>
        </is>
      </c>
      <c r="L39" s="6" t="inlineStr">
        <is>
          <t>Answer with temporal caveat</t>
        </is>
      </c>
      <c r="M39" s="6" t="inlineStr">
        <is>
          <t>Tests outdated-source handling.</t>
        </is>
      </c>
      <c r="N39" s="6" t="inlineStr">
        <is>
          <t>so-tay-kien-thuc-phap-luat-lao-dong-cdi</t>
        </is>
      </c>
      <c r="O39" s="6" t="inlineStr">
        <is>
          <t>Dựa trên tài liệu được cung cấp, tôi không tìm thấy thông tin để trả lời câu hỏi này.</t>
        </is>
      </c>
      <c r="P39" s="6" t="inlineStr"/>
      <c r="Q39" s="6" t="inlineStr"/>
      <c r="R39" s="6" t="inlineStr">
        <is>
          <t>(no LLM call: early exit)</t>
        </is>
      </c>
      <c r="S39" s="6" t="n">
        <v>16.7</v>
      </c>
      <c r="T39" s="7" t="n">
        <v>0</v>
      </c>
      <c r="U39" s="7" t="n">
        <v>0.09375</v>
      </c>
      <c r="V39" s="6" t="inlineStr">
        <is>
          <t>No</t>
        </is>
      </c>
      <c r="W39" s="6" t="inlineStr">
        <is>
          <t>No</t>
        </is>
      </c>
      <c r="X39" s="6" t="inlineStr">
        <is>
          <t>FAIL</t>
        </is>
      </c>
      <c r="Y39" s="6" t="inlineStr">
        <is>
          <t>Từ chối trả lời dù câu hỏi có đáp án</t>
        </is>
      </c>
      <c r="Z39" s="6" t="inlineStr">
        <is>
          <t>FAIL</t>
        </is>
      </c>
      <c r="AA39" s="6">
        <f>IF(Z39="",X39,Z39)</f>
        <v/>
      </c>
      <c r="AB39" s="6" t="inlineStr">
        <is>
          <t>DEF-04</t>
        </is>
      </c>
      <c r="AC39" s="6" t="inlineStr">
        <is>
          <t>[AI] Từ chối; câu hỏi về hành vi RAG, cần SME xem lại thiết kế test</t>
        </is>
      </c>
    </row>
    <row r="40">
      <c r="A40" s="6" t="inlineStr">
        <is>
          <t>LAW_B_019</t>
        </is>
      </c>
      <c r="B40" s="6" t="inlineStr">
        <is>
          <t>Synthesis</t>
        </is>
      </c>
      <c r="C40" s="6" t="inlineStr">
        <is>
          <t>Sổ tay được thiết kế theo hình thức nào và điều đó có ý nghĩa gì cho RAG?</t>
        </is>
      </c>
      <c r="D40" s="6" t="inlineStr">
        <is>
          <t>Tài liệu được thiết kế dạng Hỏi - Đáp, với thông tin và giải thích ngắn gọn; các câu hỏi dựa trên tình huống thực tế. Với RAG, cấu trúc này phù hợp cho truy xuất theo câu hỏi/tình huống nhưng vẫn cần giữ đúng bối cảnh và thời điểm của nguồn.</t>
        </is>
      </c>
      <c r="E40" s="6" t="inlineStr">
        <is>
          <t>Căn cứ: phần “Giới thiệu”, trang 5. Nội dung được tài liệu xác nhận: Tài liệu được thiết kế dạng Hỏi - Đáp, với thông tin và giải thích ngắn gọn; các câu hỏi dựa trên tình huống thực tế. Với RAG, cấu trúc này phù hợp cho truy xuất theo câu hỏi/tình huống nhưng vẫn cần giữ đúng bối cảnh và thời điểm của nguồn.</t>
        </is>
      </c>
      <c r="F40" s="6" t="n">
        <v>5</v>
      </c>
      <c r="G40" s="6" t="inlineStr">
        <is>
          <t>Giới thiệu</t>
        </is>
      </c>
      <c r="H40" s="6" t="inlineStr">
        <is>
          <t>Hỏi-Đáp | tình huống thực tế | ngắn gọn</t>
        </is>
      </c>
      <c r="I40" s="6" t="inlineStr">
        <is>
          <t>Hard</t>
        </is>
      </c>
      <c r="J40" s="6" t="inlineStr">
        <is>
          <t>Single Chunk</t>
        </is>
      </c>
      <c r="K40" s="6" t="inlineStr">
        <is>
          <t>Yes</t>
        </is>
      </c>
      <c r="L40" s="6" t="inlineStr">
        <is>
          <t>Answer from document</t>
        </is>
      </c>
      <c r="M40" s="6" t="n"/>
      <c r="N40" s="6" t="inlineStr">
        <is>
          <t>so-tay-kien-thuc-phap-luat-lao-dong-cdi</t>
        </is>
      </c>
      <c r="O40" s="6" t="inlineStr">
        <is>
          <t>Dựa trên tài liệu được cung cấp, tôi không tìm thấy thông tin để trả lời câu hỏi này.</t>
        </is>
      </c>
      <c r="P40" s="6" t="inlineStr"/>
      <c r="Q40" s="6" t="inlineStr"/>
      <c r="R40" s="6" t="inlineStr">
        <is>
          <t>(no LLM call: early exit)</t>
        </is>
      </c>
      <c r="S40" s="6" t="n">
        <v>27.1</v>
      </c>
      <c r="T40" s="7" t="n">
        <v>0</v>
      </c>
      <c r="U40" s="7" t="n">
        <v>0.225</v>
      </c>
      <c r="V40" s="6" t="inlineStr">
        <is>
          <t>No</t>
        </is>
      </c>
      <c r="W40" s="6" t="inlineStr">
        <is>
          <t>No</t>
        </is>
      </c>
      <c r="X40" s="6" t="inlineStr">
        <is>
          <t>FAIL</t>
        </is>
      </c>
      <c r="Y40" s="6" t="inlineStr">
        <is>
          <t>Từ chối trả lời dù câu hỏi có đáp án</t>
        </is>
      </c>
      <c r="Z40" s="6" t="inlineStr">
        <is>
          <t>FAIL</t>
        </is>
      </c>
      <c r="AA40" s="6">
        <f>IF(Z40="",X40,Z40)</f>
        <v/>
      </c>
      <c r="AB40" s="6" t="inlineStr">
        <is>
          <t>DEF-04</t>
        </is>
      </c>
      <c r="AC40" s="6" t="inlineStr">
        <is>
          <t>[AI] Từ chối câu hỏi về hình thức tài liệu (Hỏi - Đáp)</t>
        </is>
      </c>
    </row>
    <row r="41">
      <c r="A41" s="6" t="inlineStr">
        <is>
          <t>LAW_B_020</t>
        </is>
      </c>
      <c r="B41" s="6" t="inlineStr">
        <is>
          <t>Synthesis</t>
        </is>
      </c>
      <c r="C41" s="6" t="inlineStr">
        <is>
          <t>Một chatbot nhận câu hỏi “bị sa thải khi đang mang thai thì quyền lợi thế nào?”. Theo mục lục sổ tay, retrieval nên mở rộng sang những nhóm nội dung nào?</t>
        </is>
      </c>
      <c r="D41" s="6" t="inlineStr">
        <is>
          <t>Nên truy xuất ít nhất Phần V - Kỷ luật lao động và Phần VI - Chế độ đối với lao động nữ; tùy câu hỏi về khiếu kiện có thể cần thêm Phần VIII.</t>
        </is>
      </c>
      <c r="E41" s="6" t="inlineStr">
        <is>
          <t>Căn cứ: phần “Phần V + VI (+ VIII)”, trang 7. Nội dung được tài liệu xác nhận: Nên truy xuất ít nhất Phần V - Kỷ luật lao động và Phần VI - Chế độ đối với lao động nữ; tùy câu hỏi về khiếu kiện có thể cần thêm Phần VIII.</t>
        </is>
      </c>
      <c r="F41" s="6" t="n">
        <v>7</v>
      </c>
      <c r="G41" s="6" t="inlineStr">
        <is>
          <t>Phần V + VI (+ VIII)</t>
        </is>
      </c>
      <c r="H41" s="6" t="inlineStr">
        <is>
          <t>sa thải | mang thai | lao động nữ | khiếu kiện</t>
        </is>
      </c>
      <c r="I41" s="6" t="inlineStr">
        <is>
          <t>Hard</t>
        </is>
      </c>
      <c r="J41" s="6" t="inlineStr">
        <is>
          <t>Multiple Chunks</t>
        </is>
      </c>
      <c r="K41" s="6" t="inlineStr">
        <is>
          <t>Yes</t>
        </is>
      </c>
      <c r="L41" s="6" t="inlineStr">
        <is>
          <t>Answer from document</t>
        </is>
      </c>
      <c r="M41" s="6" t="n"/>
      <c r="N41" s="6" t="inlineStr">
        <is>
          <t>so-tay-kien-thuc-phap-luat-lao-dong-cdi</t>
        </is>
      </c>
      <c r="O41" s="6" t="inlineStr">
        <is>
          <t>Dựa trên tài liệu được cung cấp, tôi không tìm thấy thông tin để trả lời câu hỏi này.</t>
        </is>
      </c>
      <c r="P41" s="6" t="inlineStr"/>
      <c r="Q41" s="6" t="inlineStr"/>
      <c r="R41" s="6" t="inlineStr">
        <is>
          <t>(no LLM call: early exit)</t>
        </is>
      </c>
      <c r="S41" s="6" t="n">
        <v>18.9</v>
      </c>
      <c r="T41" s="7" t="n">
        <v>0</v>
      </c>
      <c r="U41" s="7" t="n">
        <v>0.07142857142857142</v>
      </c>
      <c r="V41" s="6" t="inlineStr">
        <is>
          <t>No</t>
        </is>
      </c>
      <c r="W41" s="6" t="inlineStr">
        <is>
          <t>No</t>
        </is>
      </c>
      <c r="X41" s="6" t="inlineStr">
        <is>
          <t>FAIL</t>
        </is>
      </c>
      <c r="Y41" s="6" t="inlineStr">
        <is>
          <t>Từ chối trả lời dù câu hỏi có đáp án</t>
        </is>
      </c>
      <c r="Z41" s="6" t="inlineStr">
        <is>
          <t>FAIL</t>
        </is>
      </c>
      <c r="AA41" s="6">
        <f>IF(Z41="",X41,Z41)</f>
        <v/>
      </c>
      <c r="AB41" s="6" t="inlineStr">
        <is>
          <t>DEF-03</t>
        </is>
      </c>
      <c r="AC41" s="6" t="inlineStr">
        <is>
          <t>[AI] Từ chối câu hỏi gộp nhiều phần</t>
        </is>
      </c>
    </row>
    <row r="42">
      <c r="A42" s="6" t="inlineStr">
        <is>
          <t>LAW_C_001</t>
        </is>
      </c>
      <c r="B42" s="6" t="inlineStr">
        <is>
          <t>Direct Fact</t>
        </is>
      </c>
      <c r="C42" s="6" t="inlineStr">
        <is>
          <t>Bộ tổng hợp văn bản được cập nhật đến thời điểm nào?</t>
        </is>
      </c>
      <c r="D42" s="6" t="inlineStr">
        <is>
          <t>Được cập nhật đến hết tháng 3/2020.</t>
        </is>
      </c>
      <c r="E42" s="6" t="inlineStr">
        <is>
          <t>Căn cứ: phần “Bìa”, trang 1. Nội dung được tài liệu xác nhận: Được cập nhật đến hết tháng 3/2020.</t>
        </is>
      </c>
      <c r="F42" s="6" t="n">
        <v>1</v>
      </c>
      <c r="G42" s="6" t="inlineStr">
        <is>
          <t>Bìa</t>
        </is>
      </c>
      <c r="H42" s="6" t="inlineStr">
        <is>
          <t>03/2020 | cập nhật</t>
        </is>
      </c>
      <c r="I42" s="6" t="inlineStr">
        <is>
          <t>Easy</t>
        </is>
      </c>
      <c r="J42" s="6" t="inlineStr">
        <is>
          <t>Single Chunk</t>
        </is>
      </c>
      <c r="K42" s="6" t="inlineStr">
        <is>
          <t>Yes</t>
        </is>
      </c>
      <c r="L42" s="6" t="inlineStr">
        <is>
          <t>Answer from document</t>
        </is>
      </c>
      <c r="M42" s="6" t="n"/>
      <c r="N42" s="6" t="inlineStr">
        <is>
          <t>luu-ban-nhap-tu-dong-3-4</t>
        </is>
      </c>
      <c r="O42" s="6" t="inlineStr">
        <is>
          <t>Bộ tổng hợp văn bản được cập nhật đến hết tháng 3/2020 [SOURCE_1].</t>
        </is>
      </c>
      <c r="P42" s="6" t="inlineStr">
        <is>
          <t>[SOURCE_1] luu-ban-nhap-tu-dong-3-4 | tr.1 | ĐƯỢC TỔNG HỢP BỞI LUẬT SƯ FDVN &gt; TỔNG HỢP HỆ THỐNG VĂN BẢN P | 0.3582</t>
        </is>
      </c>
      <c r="Q42" s="6" t="inlineStr">
        <is>
          <t>[SOURCE_1] luu-ban-nhap-tu-dong-3-4 | tr.1 | ĐƯỢC TỔNG HỢP BỞI LUẬT SƯ FDVN &gt; TỔNG HỢP HỆ THỐNG VĂN BẢN P | 0.3582</t>
        </is>
      </c>
      <c r="R42" s="6" t="inlineStr">
        <is>
          <t>gemini-3.5-flash-lite</t>
        </is>
      </c>
      <c r="S42" s="6" t="n">
        <v>15.5</v>
      </c>
      <c r="T42" s="7" t="n">
        <v>0.5</v>
      </c>
      <c r="U42" s="7" t="n">
        <v>1</v>
      </c>
      <c r="V42" s="6" t="inlineStr">
        <is>
          <t>Yes</t>
        </is>
      </c>
      <c r="W42" s="6" t="inlineStr">
        <is>
          <t>Yes</t>
        </is>
      </c>
      <c r="X42" s="6" t="inlineStr">
        <is>
          <t>PARTIAL</t>
        </is>
      </c>
      <c r="Y42" s="6" t="inlineStr">
        <is>
          <t>Thiếu từ khóa (50%)</t>
        </is>
      </c>
      <c r="Z42" s="6" t="inlineStr">
        <is>
          <t>PASS</t>
        </is>
      </c>
      <c r="AA42" s="6">
        <f>IF(Z42="",X42,Z42)</f>
        <v/>
      </c>
      <c r="AB42" s="6" t="n"/>
      <c r="AC42" s="6" t="inlineStr">
        <is>
          <t>[AI] Đúng 'hết tháng 3/2020'; scorer chấm thiếu từ khóa oan</t>
        </is>
      </c>
    </row>
    <row r="43">
      <c r="A43" s="6" t="inlineStr">
        <is>
          <t>LAW_C_002</t>
        </is>
      </c>
      <c r="B43" s="6" t="inlineStr">
        <is>
          <t>Direct Fact</t>
        </is>
      </c>
      <c r="C43" s="6" t="inlineStr">
        <is>
          <t>Văn bản đầu tiên trong mục lục của bộ tổng hợp là văn bản nào?</t>
        </is>
      </c>
      <c r="D43" s="6" t="inlineStr">
        <is>
          <t>Bộ luật Lao động số 45/2019/QH14 ngày 20/11/2019.</t>
        </is>
      </c>
      <c r="E43" s="6" t="inlineStr">
        <is>
          <t>Căn cứ: phần “Mục lục”, trang 2. Nội dung được tài liệu xác nhận: Bộ luật Lao động số 45/2019/QH14 ngày 20/11/2019.</t>
        </is>
      </c>
      <c r="F43" s="6" t="n">
        <v>2</v>
      </c>
      <c r="G43" s="6" t="inlineStr">
        <is>
          <t>Mục lục</t>
        </is>
      </c>
      <c r="H43" s="6" t="inlineStr">
        <is>
          <t>45/2019/QH14 | 20/11/2019</t>
        </is>
      </c>
      <c r="I43" s="6" t="inlineStr">
        <is>
          <t>Easy</t>
        </is>
      </c>
      <c r="J43" s="6" t="inlineStr">
        <is>
          <t>Single Chunk</t>
        </is>
      </c>
      <c r="K43" s="6" t="inlineStr">
        <is>
          <t>Yes</t>
        </is>
      </c>
      <c r="L43" s="6" t="inlineStr">
        <is>
          <t>Answer from document</t>
        </is>
      </c>
      <c r="M43" s="6" t="n"/>
      <c r="N43" s="6" t="inlineStr">
        <is>
          <t>luu-ban-nhap-tu-dong-3-4</t>
        </is>
      </c>
      <c r="O43" s="6" t="inlineStr">
        <is>
          <t>Dựa trên tài liệu được cung cấp, tôi không tìm thấy thông tin để trả lời câu hỏi này.</t>
        </is>
      </c>
      <c r="P43" s="6" t="inlineStr"/>
      <c r="Q43" s="6" t="inlineStr"/>
      <c r="R43" s="6" t="inlineStr">
        <is>
          <t>(no LLM call: early exit)</t>
        </is>
      </c>
      <c r="S43" s="6" t="n">
        <v>22.8</v>
      </c>
      <c r="T43" s="7" t="n">
        <v>0</v>
      </c>
      <c r="U43" s="7" t="n">
        <v>0</v>
      </c>
      <c r="V43" s="6" t="inlineStr">
        <is>
          <t>No</t>
        </is>
      </c>
      <c r="W43" s="6" t="inlineStr">
        <is>
          <t>No</t>
        </is>
      </c>
      <c r="X43" s="6" t="inlineStr">
        <is>
          <t>FAIL</t>
        </is>
      </c>
      <c r="Y43" s="6" t="inlineStr">
        <is>
          <t>Từ chối trả lời dù câu hỏi có đáp án</t>
        </is>
      </c>
      <c r="Z43" s="6" t="inlineStr">
        <is>
          <t>FAIL</t>
        </is>
      </c>
      <c r="AA43" s="6">
        <f>IF(Z43="",X43,Z43)</f>
        <v/>
      </c>
      <c r="AB43" s="6" t="inlineStr">
        <is>
          <t>DEF-02</t>
        </is>
      </c>
      <c r="AC43" s="6" t="inlineStr">
        <is>
          <t>[AI] Từ chối câu hỏi mục lục</t>
        </is>
      </c>
    </row>
    <row r="44">
      <c r="A44" s="6" t="inlineStr">
        <is>
          <t>LAW_C_003</t>
        </is>
      </c>
      <c r="B44" s="6" t="inlineStr">
        <is>
          <t>Direct Fact</t>
        </is>
      </c>
      <c r="C44" s="6" t="inlineStr">
        <is>
          <t>Bộ tổng hợp có chứa Luật An toàn, vệ sinh lao động không?</t>
        </is>
      </c>
      <c r="D44" s="6" t="inlineStr">
        <is>
          <t>Có. Mục lục liệt kê Luật An toàn, vệ sinh lao động số 84/2015/QH13.</t>
        </is>
      </c>
      <c r="E44" s="6" t="inlineStr">
        <is>
          <t>Căn cứ: phần “Mục lục”, trang 2. Nội dung được tài liệu xác nhận: Có. Mục lục liệt kê Luật An toàn, vệ sinh lao động số 84/2015/QH13.</t>
        </is>
      </c>
      <c r="F44" s="6" t="n">
        <v>2</v>
      </c>
      <c r="G44" s="6" t="inlineStr">
        <is>
          <t>Mục lục</t>
        </is>
      </c>
      <c r="H44" s="6" t="inlineStr">
        <is>
          <t>84/2015/QH13 | an toàn vệ sinh lao động</t>
        </is>
      </c>
      <c r="I44" s="6" t="inlineStr">
        <is>
          <t>Easy</t>
        </is>
      </c>
      <c r="J44" s="6" t="inlineStr">
        <is>
          <t>Single Chunk</t>
        </is>
      </c>
      <c r="K44" s="6" t="inlineStr">
        <is>
          <t>Yes</t>
        </is>
      </c>
      <c r="L44" s="6" t="inlineStr">
        <is>
          <t>Answer from document</t>
        </is>
      </c>
      <c r="M44" s="6" t="n"/>
      <c r="N44" s="6" t="inlineStr">
        <is>
          <t>luu-ban-nhap-tu-dong-3-4</t>
        </is>
      </c>
      <c r="O44" s="6" t="inlineStr">
        <is>
          <t>Dựa trên tài liệu được cung cấp, tôi không tìm thấy thông tin để trả lời câu hỏi này.</t>
        </is>
      </c>
      <c r="P44" s="6" t="inlineStr"/>
      <c r="Q44" s="6" t="inlineStr">
        <is>
          <t>[SOURCE_1] luu-ban-nhap-tu-dong-3-4 | tr.560 | ` Chương II AN TOAN LAO DONG, VỆ SINH LAO DONG &gt; Mục i NHỮNG | 0.8496
[SOURCE_2] luu-ban-nhap-tu-dong-3-4 | tr.160 | Điều 36. Thống kê, báo cáo tai nạn lao động, sự cố kỹ thuật  | 0.8397
[SOURCE_3] luu-ban-nhap-tu-dong-3-4 | tr.160 | Điều 36. Thống kê, báo cáo tai nạn lao động, sự cố kỹ thuật  | 0.72
[SOURCE_4] luu-ban-nhap-tu-dong-3-4 | tr.177 | Điều 84. Trách nhiệm quản lý nhà nước về an toàn, vệ sinh la | 0.6968
[SOURCE_5] luu-ban-nhap-tu-dong-3-4 | tr.170 | Điều 65. An toàn, vệ sinh lao động trong trường hợp cho thuê | 0.5984</t>
        </is>
      </c>
      <c r="R44" s="6" t="inlineStr">
        <is>
          <t>gemini-3.5-flash-lite</t>
        </is>
      </c>
      <c r="S44" s="6" t="n">
        <v>21.7</v>
      </c>
      <c r="T44" s="7" t="n">
        <v>0</v>
      </c>
      <c r="U44" s="7" t="n">
        <v>0</v>
      </c>
      <c r="V44" s="6" t="inlineStr">
        <is>
          <t>No</t>
        </is>
      </c>
      <c r="W44" s="6" t="inlineStr">
        <is>
          <t>No</t>
        </is>
      </c>
      <c r="X44" s="6" t="inlineStr">
        <is>
          <t>FAIL</t>
        </is>
      </c>
      <c r="Y44" s="6" t="inlineStr">
        <is>
          <t>Từ chối trả lời dù câu hỏi có đáp án</t>
        </is>
      </c>
      <c r="Z44" s="6" t="inlineStr">
        <is>
          <t>FAIL</t>
        </is>
      </c>
      <c r="AA44" s="6">
        <f>IF(Z44="",X44,Z44)</f>
        <v/>
      </c>
      <c r="AB44" s="6" t="inlineStr">
        <is>
          <t>DEF-02</t>
        </is>
      </c>
      <c r="AC44" s="6" t="inlineStr">
        <is>
          <t>[AI] Từ chối câu hỏi mục lục</t>
        </is>
      </c>
    </row>
    <row r="45">
      <c r="A45" s="6" t="inlineStr">
        <is>
          <t>LAW_C_004</t>
        </is>
      </c>
      <c r="B45" s="6" t="inlineStr">
        <is>
          <t>Direct Fact</t>
        </is>
      </c>
      <c r="C45" s="6" t="inlineStr">
        <is>
          <t>Bộ tổng hợp có chứa Luật Việc làm không?</t>
        </is>
      </c>
      <c r="D45" s="6" t="inlineStr">
        <is>
          <t>Có. Mục lục liệt kê Luật Việc làm số 38/2013/QH13.</t>
        </is>
      </c>
      <c r="E45" s="6" t="inlineStr">
        <is>
          <t>Căn cứ: phần “Mục lục”, trang 2. Nội dung được tài liệu xác nhận: Có. Mục lục liệt kê Luật Việc làm số 38/2013/QH13.</t>
        </is>
      </c>
      <c r="F45" s="6" t="n">
        <v>2</v>
      </c>
      <c r="G45" s="6" t="inlineStr">
        <is>
          <t>Mục lục</t>
        </is>
      </c>
      <c r="H45" s="6" t="inlineStr">
        <is>
          <t>38/2013/QH13 | Luật việc làm</t>
        </is>
      </c>
      <c r="I45" s="6" t="inlineStr">
        <is>
          <t>Easy</t>
        </is>
      </c>
      <c r="J45" s="6" t="inlineStr">
        <is>
          <t>Single Chunk</t>
        </is>
      </c>
      <c r="K45" s="6" t="inlineStr">
        <is>
          <t>Yes</t>
        </is>
      </c>
      <c r="L45" s="6" t="inlineStr">
        <is>
          <t>Answer from document</t>
        </is>
      </c>
      <c r="M45" s="6" t="n"/>
      <c r="N45" s="6" t="inlineStr">
        <is>
          <t>luu-ban-nhap-tu-dong-3-4</t>
        </is>
      </c>
      <c r="O45" s="6" t="inlineStr">
        <is>
          <t>Dựa trên tài liệu được cung cấp, tôi không tìm thấy thông tin để trả lời câu hỏi này.</t>
        </is>
      </c>
      <c r="P45" s="6" t="inlineStr"/>
      <c r="Q45" s="6" t="inlineStr"/>
      <c r="R45" s="6" t="inlineStr">
        <is>
          <t>(no LLM call: early exit)</t>
        </is>
      </c>
      <c r="S45" s="6" t="n">
        <v>26.8</v>
      </c>
      <c r="T45" s="7" t="n">
        <v>0</v>
      </c>
      <c r="U45" s="7" t="n">
        <v>0</v>
      </c>
      <c r="V45" s="6" t="inlineStr">
        <is>
          <t>No</t>
        </is>
      </c>
      <c r="W45" s="6" t="inlineStr">
        <is>
          <t>No</t>
        </is>
      </c>
      <c r="X45" s="6" t="inlineStr">
        <is>
          <t>FAIL</t>
        </is>
      </c>
      <c r="Y45" s="6" t="inlineStr">
        <is>
          <t>Từ chối trả lời dù câu hỏi có đáp án</t>
        </is>
      </c>
      <c r="Z45" s="6" t="inlineStr">
        <is>
          <t>FAIL</t>
        </is>
      </c>
      <c r="AA45" s="6">
        <f>IF(Z45="",X45,Z45)</f>
        <v/>
      </c>
      <c r="AB45" s="6" t="inlineStr">
        <is>
          <t>DEF-02</t>
        </is>
      </c>
      <c r="AC45" s="6" t="inlineStr">
        <is>
          <t>[AI] Từ chối câu hỏi mục lục</t>
        </is>
      </c>
    </row>
    <row r="46">
      <c r="A46" s="6" t="inlineStr">
        <is>
          <t>LAW_C_005</t>
        </is>
      </c>
      <c r="B46" s="6" t="inlineStr">
        <is>
          <t>Direct Fact</t>
        </is>
      </c>
      <c r="C46" s="6" t="inlineStr">
        <is>
          <t>Bộ tổng hợp có chứa Luật Công đoàn không?</t>
        </is>
      </c>
      <c r="D46" s="6" t="inlineStr">
        <is>
          <t>Có. Mục lục liệt kê Luật Công đoàn số 12/2012/QH13.</t>
        </is>
      </c>
      <c r="E46" s="6" t="inlineStr">
        <is>
          <t>Căn cứ: phần “Mục lục”, trang 2. Nội dung được tài liệu xác nhận: Có. Mục lục liệt kê Luật Công đoàn số 12/2012/QH13.</t>
        </is>
      </c>
      <c r="F46" s="6" t="n">
        <v>2</v>
      </c>
      <c r="G46" s="6" t="inlineStr">
        <is>
          <t>Mục lục</t>
        </is>
      </c>
      <c r="H46" s="6" t="inlineStr">
        <is>
          <t>12/2012/QH13 | công đoàn</t>
        </is>
      </c>
      <c r="I46" s="6" t="inlineStr">
        <is>
          <t>Easy</t>
        </is>
      </c>
      <c r="J46" s="6" t="inlineStr">
        <is>
          <t>Single Chunk</t>
        </is>
      </c>
      <c r="K46" s="6" t="inlineStr">
        <is>
          <t>Yes</t>
        </is>
      </c>
      <c r="L46" s="6" t="inlineStr">
        <is>
          <t>Answer from document</t>
        </is>
      </c>
      <c r="M46" s="6" t="n"/>
      <c r="N46" s="6" t="inlineStr">
        <is>
          <t>luu-ban-nhap-tu-dong-3-4</t>
        </is>
      </c>
      <c r="O46" s="6" t="inlineStr">
        <is>
          <t>Dựa trên tài liệu được cung cấp, tôi không tìm thấy thông tin để trả lời câu hỏi này.</t>
        </is>
      </c>
      <c r="P46" s="6" t="inlineStr"/>
      <c r="Q46" s="6" t="inlineStr"/>
      <c r="R46" s="6" t="inlineStr">
        <is>
          <t>(no LLM call: early exit)</t>
        </is>
      </c>
      <c r="S46" s="6" t="n">
        <v>18.8</v>
      </c>
      <c r="T46" s="7" t="n">
        <v>0</v>
      </c>
      <c r="U46" s="7" t="n">
        <v>0</v>
      </c>
      <c r="V46" s="6" t="inlineStr">
        <is>
          <t>No</t>
        </is>
      </c>
      <c r="W46" s="6" t="inlineStr">
        <is>
          <t>No</t>
        </is>
      </c>
      <c r="X46" s="6" t="inlineStr">
        <is>
          <t>FAIL</t>
        </is>
      </c>
      <c r="Y46" s="6" t="inlineStr">
        <is>
          <t>Từ chối trả lời dù câu hỏi có đáp án</t>
        </is>
      </c>
      <c r="Z46" s="6" t="inlineStr">
        <is>
          <t>FAIL</t>
        </is>
      </c>
      <c r="AA46" s="6">
        <f>IF(Z46="",X46,Z46)</f>
        <v/>
      </c>
      <c r="AB46" s="6" t="inlineStr">
        <is>
          <t>DEF-02</t>
        </is>
      </c>
      <c r="AC46" s="6" t="inlineStr">
        <is>
          <t>[AI] Từ chối câu hỏi mục lục</t>
        </is>
      </c>
    </row>
    <row r="47">
      <c r="A47" s="6" t="inlineStr">
        <is>
          <t>LAW_C_006</t>
        </is>
      </c>
      <c r="B47" s="6" t="inlineStr">
        <is>
          <t>Direct Fact</t>
        </is>
      </c>
      <c r="C47" s="6" t="inlineStr">
        <is>
          <t>Nghị định nào trong mục lục quy định chi tiết về hợp đồng lao động?</t>
        </is>
      </c>
      <c r="D47" s="6" t="inlineStr">
        <is>
          <t>Nghị định số 44/2013/NĐ-CP ngày 10/05/2013.</t>
        </is>
      </c>
      <c r="E47" s="6" t="inlineStr">
        <is>
          <t>Căn cứ: phần “Mục lục”, trang 4. Nội dung được tài liệu xác nhận: Nghị định số 44/2013/NĐ-CP ngày 10/05/2013.</t>
        </is>
      </c>
      <c r="F47" s="6" t="n">
        <v>4</v>
      </c>
      <c r="G47" s="6" t="inlineStr">
        <is>
          <t>Mục lục</t>
        </is>
      </c>
      <c r="H47" s="6" t="inlineStr">
        <is>
          <t>44/2013/NĐ-CP | hợp đồng lao động</t>
        </is>
      </c>
      <c r="I47" s="6" t="inlineStr">
        <is>
          <t>Easy</t>
        </is>
      </c>
      <c r="J47" s="6" t="inlineStr">
        <is>
          <t>Single Chunk</t>
        </is>
      </c>
      <c r="K47" s="6" t="inlineStr">
        <is>
          <t>Yes</t>
        </is>
      </c>
      <c r="L47" s="6" t="inlineStr">
        <is>
          <t>Answer from document</t>
        </is>
      </c>
      <c r="M47" s="6" t="n"/>
      <c r="N47" s="6" t="inlineStr">
        <is>
          <t>luu-ban-nhap-tu-dong-3-4</t>
        </is>
      </c>
      <c r="O47" s="6" t="inlineStr">
        <is>
          <t>Dựa trên tài liệu được cung cấp, Nghị định quy định chi tiết thi hành một số điều của Bộ luật Lao động về hợp đồng lao động trong mục lục là Nghị định số 44/2013/NĐ-CP ngày 10/05/2013 của Chính Phủ [SOURCE_2], [SOURCE_5].</t>
        </is>
      </c>
      <c r="P47" s="6" t="inlineStr">
        <is>
          <t>[SOURCE_2] luu-ban-nhap-tu-dong-3-4 | tr.4 | MỤC LỤC | 0.9751
[SOURCE_5] so-tay-kien-thuc-phap-luat-lao-dong-cdi | tr.53 | Lao động - Tiền lương | 0.9646</t>
        </is>
      </c>
      <c r="Q47" s="6" t="inlineStr">
        <is>
          <t>[SOURCE_1] luu-ban-nhap-tu-dong-3-4 | tr.77 | Điều 24. Phụ lục hợp đồng lao động | 0.9769
[SOURCE_2] luu-ban-nhap-tu-dong-3-4 | tr.4 | MỤC LỤC | 0.9751
[SOURCE_3] giao trinh Luat lao dong CB 2005 (1) | tr.209 | DANH MỤC TÀI LIỆU THAM KHẢO | 0.9705
[SOURCE_4] luu-ban-nhap-tu-dong-3-4 | tr.572 | NGHI DINH | 0.9702
[SOURCE_5] so-tay-kien-thuc-phap-luat-lao-dong-cdi | tr.53 | Lao động - Tiền lương | 0.9646</t>
        </is>
      </c>
      <c r="R47" s="6" t="inlineStr">
        <is>
          <t>gemini-3.5-flash-lite</t>
        </is>
      </c>
      <c r="S47" s="6" t="n">
        <v>19.1</v>
      </c>
      <c r="T47" s="7" t="n">
        <v>1</v>
      </c>
      <c r="U47" s="7" t="n">
        <v>1</v>
      </c>
      <c r="V47" s="6" t="inlineStr">
        <is>
          <t>Yes</t>
        </is>
      </c>
      <c r="W47" s="6" t="inlineStr">
        <is>
          <t>Yes</t>
        </is>
      </c>
      <c r="X47" s="6" t="inlineStr">
        <is>
          <t>PASS</t>
        </is>
      </c>
      <c r="Y47" s="6" t="inlineStr"/>
      <c r="Z47" s="6" t="inlineStr">
        <is>
          <t>PASS</t>
        </is>
      </c>
      <c r="AA47" s="6">
        <f>IF(Z47="",X47,Z47)</f>
        <v/>
      </c>
      <c r="AB47" s="6" t="n"/>
      <c r="AC47" s="6" t="inlineStr">
        <is>
          <t>[AI] Đồng ý với chấm tự động</t>
        </is>
      </c>
    </row>
    <row r="48">
      <c r="A48" s="6" t="inlineStr">
        <is>
          <t>LAW_C_007</t>
        </is>
      </c>
      <c r="B48" s="6" t="inlineStr">
        <is>
          <t>Direct Fact</t>
        </is>
      </c>
      <c r="C48" s="6" t="inlineStr">
        <is>
          <t>Nghị định nào trong mục lục liên quan đến tranh chấp lao động?</t>
        </is>
      </c>
      <c r="D48" s="6" t="inlineStr">
        <is>
          <t>Nghị định số 46/2013/NĐ-CP ngày 10/05/2013.</t>
        </is>
      </c>
      <c r="E48" s="6" t="inlineStr">
        <is>
          <t>Căn cứ: phần “Mục lục”, trang 4. Nội dung được tài liệu xác nhận: Nghị định số 46/2013/NĐ-CP ngày 10/05/2013.</t>
        </is>
      </c>
      <c r="F48" s="6" t="n">
        <v>4</v>
      </c>
      <c r="G48" s="6" t="inlineStr">
        <is>
          <t>Mục lục</t>
        </is>
      </c>
      <c r="H48" s="6" t="inlineStr">
        <is>
          <t>46/2013/NĐ-CP | tranh chấp lao động</t>
        </is>
      </c>
      <c r="I48" s="6" t="inlineStr">
        <is>
          <t>Easy</t>
        </is>
      </c>
      <c r="J48" s="6" t="inlineStr">
        <is>
          <t>Single Chunk</t>
        </is>
      </c>
      <c r="K48" s="6" t="inlineStr">
        <is>
          <t>Yes</t>
        </is>
      </c>
      <c r="L48" s="6" t="inlineStr">
        <is>
          <t>Answer from document</t>
        </is>
      </c>
      <c r="M48" s="6" t="n"/>
      <c r="N48" s="6" t="inlineStr">
        <is>
          <t>luu-ban-nhap-tu-dong-3-4</t>
        </is>
      </c>
      <c r="O48" s="6" t="inlineStr">
        <is>
          <t>Dựa trên tài liệu được cung cấp, văn bản liên quan đến tranh chấp lao động trong mục lục là **Nghị định số 46/2013/NĐ - CP** ngày 10/05/2013 của Chính Phủ quy định chi tiết thi hành một số điều của Bộ luật lao động về tranh chấp lao động [SOURCE_1].</t>
        </is>
      </c>
      <c r="P48" s="6" t="inlineStr">
        <is>
          <t>[SOURCE_1] luu-ban-nhap-tu-dong-3-4 | tr.4 | MỤC LỤC | 0.9832</t>
        </is>
      </c>
      <c r="Q48" s="6" t="inlineStr">
        <is>
          <t>[SOURCE_1] luu-ban-nhap-tu-dong-3-4 | tr.4 | MỤC LỤC | 0.9832
[SOURCE_2] luu-ban-nhap-tu-dong-3-4 | tr.54 | Chương XIV &gt; GIẢI QUYẾT TRANH CHẤP LAO ĐỘNG Mục 1. NHỮNG QUY | 0.9827</t>
        </is>
      </c>
      <c r="R48" s="6" t="inlineStr">
        <is>
          <t>gemini-3.5-flash-lite</t>
        </is>
      </c>
      <c r="S48" s="6" t="n">
        <v>18.9</v>
      </c>
      <c r="T48" s="7" t="n">
        <v>1</v>
      </c>
      <c r="U48" s="7" t="n">
        <v>1</v>
      </c>
      <c r="V48" s="6" t="inlineStr">
        <is>
          <t>Yes</t>
        </is>
      </c>
      <c r="W48" s="6" t="inlineStr">
        <is>
          <t>Yes</t>
        </is>
      </c>
      <c r="X48" s="6" t="inlineStr">
        <is>
          <t>PASS</t>
        </is>
      </c>
      <c r="Y48" s="6" t="inlineStr"/>
      <c r="Z48" s="6" t="inlineStr">
        <is>
          <t>PASS</t>
        </is>
      </c>
      <c r="AA48" s="6">
        <f>IF(Z48="",X48,Z48)</f>
        <v/>
      </c>
      <c r="AB48" s="6" t="n"/>
      <c r="AC48" s="6" t="inlineStr">
        <is>
          <t>[AI] Đồng ý với chấm tự động</t>
        </is>
      </c>
    </row>
    <row r="49">
      <c r="A49" s="6" t="inlineStr">
        <is>
          <t>LAW_C_008</t>
        </is>
      </c>
      <c r="B49" s="6" t="inlineStr">
        <is>
          <t>Definition</t>
        </is>
      </c>
      <c r="C49" s="6" t="inlineStr">
        <is>
          <t>BLLĐ 2019 trong bộ tổng hợp định nghĩa cưỡng bức lao động như thế nào?</t>
        </is>
      </c>
      <c r="D49" s="6" t="inlineStr">
        <is>
          <t>Là việc dùng vũ lực, đe dọa dùng vũ lực hoặc thủ đoạn khác để ép buộc NLĐ làm việc trái ý muốn.</t>
        </is>
      </c>
      <c r="E49" s="6" t="inlineStr">
        <is>
          <t>Căn cứ: phần “BLLĐ 2019 - Điều 3”, trang 7. Nội dung được tài liệu xác nhận: Là việc dùng vũ lực, đe dọa dùng vũ lực hoặc thủ đoạn khác để ép buộc NLĐ làm việc trái ý muốn.</t>
        </is>
      </c>
      <c r="F49" s="6" t="n">
        <v>7</v>
      </c>
      <c r="G49" s="6" t="inlineStr">
        <is>
          <t>BLLĐ 2019 - Điều 3</t>
        </is>
      </c>
      <c r="H49" s="6" t="inlineStr">
        <is>
          <t>vũ lực | đe dọa | trái ý muốn</t>
        </is>
      </c>
      <c r="I49" s="6" t="inlineStr">
        <is>
          <t>Medium</t>
        </is>
      </c>
      <c r="J49" s="6" t="inlineStr">
        <is>
          <t>Single Chunk</t>
        </is>
      </c>
      <c r="K49" s="6" t="inlineStr">
        <is>
          <t>Yes</t>
        </is>
      </c>
      <c r="L49" s="6" t="inlineStr">
        <is>
          <t>Answer from document</t>
        </is>
      </c>
      <c r="M49" s="6" t="n"/>
      <c r="N49" s="6" t="inlineStr">
        <is>
          <t>luu-ban-nhap-tu-dong-3-4</t>
        </is>
      </c>
      <c r="O49" s="6" t="inlineStr">
        <is>
          <t>Dựa trên tài liệu được cung cấp, Bộ luật Lao động 2019 (BLLĐ 2019) định nghĩa cưỡng bức lao động là việc dùng vũ lực, đe dọa dùng vũ lực hoặc các thủ đoạn khác để ép buộc hoặc nhằm buộc người lao động (hoặc người khác) phải làm việc trái ý muốn của họ [SOURCE_2, SOURCE_4].</t>
        </is>
      </c>
      <c r="P49" s="6" t="inlineStr"/>
      <c r="Q49" s="6" t="inlineStr">
        <is>
          <t>[SOURCE_1] ILO-VCCI_Labour-Law-Guide-Book-V04-Final | tr.17 | (b) Buộc NLĐ thực hiện HĐLĐ để trả nợ cho NSDLĐ | 0.9039
[SOURCE_2] luu-ban-nhap-tu-dong-3-4 | tr.6 | NHỮNG QUY ĐỊNH CHUNG | 0.892
[SOURCE_3] ILO-VCCI_Labour-Law-Guide-Book-V04-Final | tr.11 | 3. Quyền và nghĩa vụ cơ bản của NLĐ , NSDLĐ và các hành vi b | 0.827
[SOURCE_4] luu-ban-nhap-tu-dong-3-4 | tr.70 | Điều 3. Giải thích từ ngữ ữ | 0.8042
[SOURCE_5] ILO-VCCI_Labour-Law-Guide-Book-V04-Final | tr.31 | 2. Các trường hợp đơn phương chấm dứt HĐLĐ không phải thông  | 0.6053</t>
        </is>
      </c>
      <c r="R49" s="6" t="inlineStr">
        <is>
          <t>gemini-3.5-flash-lite</t>
        </is>
      </c>
      <c r="S49" s="6" t="n">
        <v>36.6</v>
      </c>
      <c r="T49" s="7" t="n">
        <v>1</v>
      </c>
      <c r="U49" s="7" t="n">
        <v>1</v>
      </c>
      <c r="V49" s="6" t="inlineStr">
        <is>
          <t>No</t>
        </is>
      </c>
      <c r="W49" s="6" t="inlineStr">
        <is>
          <t>No</t>
        </is>
      </c>
      <c r="X49" s="6" t="inlineStr">
        <is>
          <t>PARTIAL</t>
        </is>
      </c>
      <c r="Y49" s="6" t="inlineStr">
        <is>
          <t>Không trích tài liệu mong đợi (có trong ngữ cảnh); Không trích đúng trang 7 (±1)</t>
        </is>
      </c>
      <c r="Z49" s="6" t="inlineStr">
        <is>
          <t>PARTIAL</t>
        </is>
      </c>
      <c r="AA49" s="6">
        <f>IF(Z49="",X49,Z49)</f>
        <v/>
      </c>
      <c r="AB49" s="6" t="inlineStr">
        <is>
          <t>DEF-01</t>
        </is>
      </c>
      <c r="AC49" s="6" t="inlineStr">
        <is>
          <t>[AI] Nội dung đúng nhưng mất toàn bộ trích dẫn (thẻ gộp)</t>
        </is>
      </c>
    </row>
    <row r="50">
      <c r="A50" s="6" t="inlineStr">
        <is>
          <t>LAW_C_009</t>
        </is>
      </c>
      <c r="B50" s="6" t="inlineStr">
        <is>
          <t>Definition</t>
        </is>
      </c>
      <c r="C50" s="6" t="inlineStr">
        <is>
          <t>BLLĐ 2019 định nghĩa phân biệt đối xử trong lao động dựa trên những nhóm căn cứ nào?</t>
        </is>
      </c>
      <c r="D50" s="6" t="inlineStr">
        <is>
          <t>Tài liệu liệt kê các căn cứ như chủng tộc, màu da, nguồn gốc, dân tộc, giới tính, độ tuổi, thai sản, hôn nhân, tôn giáo/tín ngưỡng, chính kiến, khuyết tật, trách nhiệm gia đình, HIV và lý do liên quan đến tổ chức đại diện NLĐ.</t>
        </is>
      </c>
      <c r="E50" s="6" t="inlineStr">
        <is>
          <t>Căn cứ: phần “BLLĐ 2019 - Điều 3”, trang 7. Nội dung được tài liệu xác nhận: Tài liệu liệt kê các căn cứ như chủng tộc, màu da, nguồn gốc, dân tộc, giới tính, độ tuổi, thai sản, hôn nhân, tôn giáo/tín ngưỡng, chính kiến, khuyết tật, trách nhiệm gia đình, HIV và lý do liên quan đến tổ chức đại diện NLĐ.</t>
        </is>
      </c>
      <c r="F50" s="6" t="n">
        <v>7</v>
      </c>
      <c r="G50" s="6" t="inlineStr">
        <is>
          <t>BLLĐ 2019 - Điều 3</t>
        </is>
      </c>
      <c r="H50" s="6" t="inlineStr">
        <is>
          <t>phân biệt đối xử | giới tính | tuổi | thai sản | HIV | công đoàn</t>
        </is>
      </c>
      <c r="I50" s="6" t="inlineStr">
        <is>
          <t>Medium</t>
        </is>
      </c>
      <c r="J50" s="6" t="inlineStr">
        <is>
          <t>Single Chunk</t>
        </is>
      </c>
      <c r="K50" s="6" t="inlineStr">
        <is>
          <t>Yes</t>
        </is>
      </c>
      <c r="L50" s="6" t="inlineStr">
        <is>
          <t>Answer from document</t>
        </is>
      </c>
      <c r="M50" s="6" t="n"/>
      <c r="N50" s="6" t="inlineStr">
        <is>
          <t>luu-ban-nhap-tu-dong-3-4</t>
        </is>
      </c>
      <c r="O50" s="6" t="inlineStr">
        <is>
          <t>Dựa trên tài liệu được cung cấp, phân biệt đối xử trong lao động theo BLLĐ 2019 được định nghĩa là hành vi phân biệt, loại trừ hoặc ưu tiên dựa trên các căn cứ sau:
- Chủng tộc, màu da, nguồn gốc quốc gia hoặc nguồn gốc xã hội [SOURCE_2].
- Dân tộc, giới tính, độ tuổi, tình trạng thai sản, tình trạng hôn nhân [SOURCE_2].
- Tôn giáo, tín ngưỡng, chính kiến, khuyết tật, trách nhiệm gia đình [SOURCE_2].
- Trên cơ sở tình trạng nhiễm HIV [SOURCE_2].
- Vì lý do thành lập, gia nhập và hoạt động công đoàn, tổ chức của người lao động tại doanh nghiệp [SOURCE_2].
Các yếu tố này có tác động làm ảnh hưởng đến bình đẳng về cơ hội việc làm hoặc nghề nghiệp [SOURCE_2]. Ngoài ra, BLLĐ 2019 cũng mở rộng thêm một số khía cạnh thường gặp trên thực tế như độ tuổi, tình trạng thai sản, hay các khía cạnh mang tính chất tinh thần như chính kiến của mỗi cá nhân hoặc trách nhiệm gia đình [SOURCE_1].</t>
        </is>
      </c>
      <c r="P50" s="6" t="inlineStr">
        <is>
          <t>[SOURCE_1] ILO-VCCI_Labour-Law-Guide-Book-V04-Final | tr.11 | 3. Quyền và nghĩa vụ cơ bản của NLĐ , NSDLĐ và các hành vi b | 0.9957
[SOURCE_2] Văn-bản-hợp-nhất-18-VBHN-VPQH | tr.2 | Điều 3. Giai thích từ ngữ | 0.8934</t>
        </is>
      </c>
      <c r="Q50" s="6" t="inlineStr">
        <is>
          <t>[SOURCE_1] ILO-VCCI_Labour-Law-Guide-Book-V04-Final | tr.11 | 3. Quyền và nghĩa vụ cơ bản của NLĐ , NSDLĐ và các hành vi b | 0.9957
[SOURCE_2] Văn-bản-hợp-nhất-18-VBHN-VPQH | tr.2 | Điều 3. Giai thích từ ngữ | 0.8934
[SOURCE_3] ILO-VCCI_Labour-Law-Guide-Book-V04-Final | tr.11 | 3. Quyền và nghĩa vụ cơ bản của NLĐ , NSDLĐ và các hành vi b | 0.8732
[SOURCE_4] ILO-VCCI_Labour-Law-Guide-Book-V04-Final | tr.30 | II. NLĐ ĐƠN PHƯƠNG CHẤM DỨT HĐLĐ | 0.7279
[SOURCE_5] ILO-VCCI_Labour-Law-Guide-Book-V04-Final | tr.27 | 2. Các trường hợp NSDLĐ được đơn phương chấm dứt HĐLĐ | 0.5981</t>
        </is>
      </c>
      <c r="R50" s="6" t="inlineStr">
        <is>
          <t>gemini-3.5-flash-lite</t>
        </is>
      </c>
      <c r="S50" s="6" t="n">
        <v>17.1</v>
      </c>
      <c r="T50" s="7" t="n">
        <v>1</v>
      </c>
      <c r="U50" s="7" t="n">
        <v>0.8636363636363636</v>
      </c>
      <c r="V50" s="6" t="inlineStr">
        <is>
          <t>No</t>
        </is>
      </c>
      <c r="W50" s="6" t="inlineStr">
        <is>
          <t>No</t>
        </is>
      </c>
      <c r="X50" s="6" t="inlineStr">
        <is>
          <t>PARTIAL</t>
        </is>
      </c>
      <c r="Y50" s="6" t="inlineStr">
        <is>
          <t>Không trích tài liệu mong đợi (không có trong ngữ cảnh); Không trích đúng trang 7 (±1)</t>
        </is>
      </c>
      <c r="Z50" s="6" t="inlineStr">
        <is>
          <t>PARTIAL</t>
        </is>
      </c>
      <c r="AA50" s="6">
        <f>IF(Z50="",X50,Z50)</f>
        <v/>
      </c>
      <c r="AB50" s="6" t="inlineStr">
        <is>
          <t>DEF-06</t>
        </is>
      </c>
      <c r="AC50" s="6" t="inlineStr">
        <is>
          <t>[AI] Nội dung đúng; trích VBHN/ILO thay vì bộ tổng hợp (do PREFERRED_SOURCES ưu tiên VBHN, cần PO chốt hành vi mong đợi)</t>
        </is>
      </c>
    </row>
    <row r="51">
      <c r="A51" s="6" t="inlineStr">
        <is>
          <t>LAW_C_010</t>
        </is>
      </c>
      <c r="B51" s="6" t="inlineStr">
        <is>
          <t>Direct Fact</t>
        </is>
      </c>
      <c r="C51" s="6" t="inlineStr">
        <is>
          <t>Theo BLLĐ 2019 trong bộ tổng hợp, NLĐ có quyền từ chối làm việc trong tình huống nào?</t>
        </is>
      </c>
      <c r="D51" s="6" t="inlineStr">
        <is>
          <t>Khi có nguy cơ rõ ràng đe dọa trực tiếp đến tính mạng, sức khỏe trong quá trình thực hiện công việc.</t>
        </is>
      </c>
      <c r="E51" s="6" t="inlineStr">
        <is>
          <t>Căn cứ: phần “BLLĐ 2019 - Quyền NLĐ”, trang 8. Nội dung được tài liệu xác nhận: Khi có nguy cơ rõ ràng đe dọa trực tiếp đến tính mạng, sức khỏe trong quá trình thực hiện công việc.</t>
        </is>
      </c>
      <c r="F51" s="6" t="n">
        <v>8</v>
      </c>
      <c r="G51" s="6" t="inlineStr">
        <is>
          <t>BLLĐ 2019 - Quyền NLĐ</t>
        </is>
      </c>
      <c r="H51" s="6" t="inlineStr">
        <is>
          <t>từ chối làm việc | nguy cơ rõ ràng | tính mạng | sức khỏe</t>
        </is>
      </c>
      <c r="I51" s="6" t="inlineStr">
        <is>
          <t>Medium</t>
        </is>
      </c>
      <c r="J51" s="6" t="inlineStr">
        <is>
          <t>Single Chunk</t>
        </is>
      </c>
      <c r="K51" s="6" t="inlineStr">
        <is>
          <t>Yes</t>
        </is>
      </c>
      <c r="L51" s="6" t="inlineStr">
        <is>
          <t>Answer from document</t>
        </is>
      </c>
      <c r="M51" s="6" t="n"/>
      <c r="N51" s="6" t="inlineStr">
        <is>
          <t>luu-ban-nhap-tu-dong-3-4</t>
        </is>
      </c>
      <c r="O51" s="6" t="inlineStr">
        <is>
          <t>Dựa trên tài liệu được cung cấp, Bộ luật Lao động 2019 bổ sung quyền từ chối làm thêm giờ của người lao động (NLĐ) nếu người sử dụng lao động (NSDLĐ) yêu cầu làm thêm giờ để thực hiện các công việc nhằm bảo vệ tính mạng con người, tài sản của cơ quan, tổ chức, cá nhân trong phòng ngừa, khắc phục hậu quả thiên tai, hỏa hoạn, dịch bệnh nguy hiểm và thảm họa, nhưng các công việc đó lại có nguy cơ ảnh hưởng đến tính mạng, sức khỏe của NLĐ theo quy định của pháp luật về an toàn, vệ sinh lao động [SOURCE_1].</t>
        </is>
      </c>
      <c r="P51" s="6" t="inlineStr">
        <is>
          <t>[SOURCE_1] ILO-VCCI_Labour-Law-Guide-Book-V04-Final | tr.113 | 2. Làm thêm giờ trong trường hợp đặc biệt | 0.9904</t>
        </is>
      </c>
      <c r="Q51" s="6" t="inlineStr">
        <is>
          <t>[SOURCE_1] ILO-VCCI_Labour-Law-Guide-Book-V04-Final | tr.113 | 2. Làm thêm giờ trong trường hợp đặc biệt | 0.9904
[SOURCE_2] ILO-VCCI_Labour-Law-Guide-Book-V04-Final | tr.70 | (vii) Tạm đình chỉ công việc của NLĐ | 0.7581
[SOURCE_3] ILO-VCCI_Labour-Law-Guide-Book-V04-Final | tr.11 | 3. Quyền và nghĩa vụ cơ bản của NLĐ , NSDLĐ và các hành vi b | 0.721
[SOURCE_4] ILO-VCCI_Labour-Law-Guide-Book-V04-Final | tr.55 | IV. MỘT SỐ NỘI DUNG MỚI VÀ NHỮNG ĐIỂM CẦN LƯU Ý VỀ XỬ LÝ KLL | 0.7156
[SOURCE_5] ILO-VCCI_Labour-Law-Guide-Book-V04-Final | tr.32 | 3. Những điểm mới liên quan đến việc NLĐ đơn phương chấm dứt | 0.6985</t>
        </is>
      </c>
      <c r="R51" s="6" t="inlineStr">
        <is>
          <t>gemini-3.5-flash-lite</t>
        </is>
      </c>
      <c r="S51" s="6" t="n">
        <v>15.6</v>
      </c>
      <c r="T51" s="7" t="n">
        <v>0.75</v>
      </c>
      <c r="U51" s="7" t="n">
        <v>0.5555555555555556</v>
      </c>
      <c r="V51" s="6" t="inlineStr">
        <is>
          <t>No</t>
        </is>
      </c>
      <c r="W51" s="6" t="inlineStr">
        <is>
          <t>No</t>
        </is>
      </c>
      <c r="X51" s="6" t="inlineStr">
        <is>
          <t>PARTIAL</t>
        </is>
      </c>
      <c r="Y51" s="6" t="inlineStr">
        <is>
          <t>Không trích tài liệu mong đợi (không có trong ngữ cảnh); Không trích đúng trang 8 (±1)</t>
        </is>
      </c>
      <c r="Z51" s="6" t="inlineStr">
        <is>
          <t>FAIL</t>
        </is>
      </c>
      <c r="AA51" s="6">
        <f>IF(Z51="",X51,Z51)</f>
        <v/>
      </c>
      <c r="AB51" s="6" t="inlineStr">
        <is>
          <t>DEF-05</t>
        </is>
      </c>
      <c r="AC51" s="6" t="inlineStr">
        <is>
          <t>[AI] Sai pháp lý: trả lời quyền từ chối làm thêm giờ thay vì quyền từ chối việc có nguy cơ đe dọa tính mạng, sức khỏe</t>
        </is>
      </c>
    </row>
    <row r="52">
      <c r="A52" s="6" t="inlineStr">
        <is>
          <t>LAW_C_011</t>
        </is>
      </c>
      <c r="B52" s="6" t="inlineStr">
        <is>
          <t>Navigation</t>
        </is>
      </c>
      <c r="C52" s="6" t="inlineStr">
        <is>
          <t>Muốn tra quy định về lao động nước ngoài làm việc tại Việt Nam, mục lục gợi ý văn bản hợp nhất nào?</t>
        </is>
      </c>
      <c r="D52" s="6" t="inlineStr">
        <is>
          <t>VBHN số 5325/VBHN-BLĐTBXH ngày 19/12/2018 về Nghị định 11/2016/NĐ-CP, được sửa đổi bởi Nghị định 140/2018/NĐ-CP.</t>
        </is>
      </c>
      <c r="E52" s="6" t="inlineStr">
        <is>
          <t>Căn cứ: phần “Mục lục”, trang 2. Nội dung được tài liệu xác nhận: VBHN số 5325/VBHN-BLĐTBXH ngày 19/12/2018 về Nghị định 11/2016/NĐ-CP, được sửa đổi bởi Nghị định 140/2018/NĐ-CP.</t>
        </is>
      </c>
      <c r="F52" s="6" t="n">
        <v>2</v>
      </c>
      <c r="G52" s="6" t="inlineStr">
        <is>
          <t>Mục lục</t>
        </is>
      </c>
      <c r="H52" s="6" t="inlineStr">
        <is>
          <t>5325/VBHN-BLĐTBXH | lao động nước ngoài</t>
        </is>
      </c>
      <c r="I52" s="6" t="inlineStr">
        <is>
          <t>Medium</t>
        </is>
      </c>
      <c r="J52" s="6" t="inlineStr">
        <is>
          <t>Single Chunk</t>
        </is>
      </c>
      <c r="K52" s="6" t="inlineStr">
        <is>
          <t>Yes</t>
        </is>
      </c>
      <c r="L52" s="6" t="inlineStr">
        <is>
          <t>Answer from document</t>
        </is>
      </c>
      <c r="M52" s="6" t="n"/>
      <c r="N52" s="6" t="inlineStr">
        <is>
          <t>luu-ban-nhap-tu-dong-3-4</t>
        </is>
      </c>
      <c r="O52" s="6" t="inlineStr">
        <is>
          <t>Dựa trên mục lục được cung cấp, để tra cứu quy định về lao động nước ngoài làm việc tại Việt Nam, tài liệu gợi ý Văn bản hợp nhất số 5325/VBHN - 11/2016/NĐ - CP ngày 03/02/2016 của Chính phủ quy định chi tiết thi hành một số điều của Bộ luật Lao động về lao động nước ngoài làm việc tại Việt Nam [SOURCE_1].</t>
        </is>
      </c>
      <c r="P52" s="6" t="inlineStr">
        <is>
          <t>[SOURCE_1] luu-ban-nhap-tu-dong-3-4 | tr.2 | MỤC LỤC | 0.972</t>
        </is>
      </c>
      <c r="Q52" s="6" t="inlineStr">
        <is>
          <t>[SOURCE_1] luu-ban-nhap-tu-dong-3-4 | tr.2 | MỤC LỤC | 0.972
[SOURCE_2] luu-ban-nhap-tu-dong-3-4 | tr.3 | MỤC LỤC | 0.9626
[SOURCE_3] luu-ban-nhap-tu-dong-3-4 | tr.483 | XÁC THỰC VĂN BẢN HỢP NHẤT KT. BỘ TRƯỞNG THỨ TRƯỞNG | 0.8638
[SOURCE_4] luu-ban-nhap-tu-dong-3-4 | tr.394 | Điều 10. Hồ sơ đề nghị cấp giấy phép lao động | 0.7815</t>
        </is>
      </c>
      <c r="R52" s="6" t="inlineStr">
        <is>
          <t>gemini-3.5-flash-lite</t>
        </is>
      </c>
      <c r="S52" s="6" t="n">
        <v>18.5</v>
      </c>
      <c r="T52" s="7" t="n">
        <v>0.5</v>
      </c>
      <c r="U52" s="7" t="n">
        <v>0.5652173913043478</v>
      </c>
      <c r="V52" s="6" t="inlineStr">
        <is>
          <t>Yes</t>
        </is>
      </c>
      <c r="W52" s="6" t="inlineStr">
        <is>
          <t>Yes</t>
        </is>
      </c>
      <c r="X52" s="6" t="inlineStr">
        <is>
          <t>PARTIAL</t>
        </is>
      </c>
      <c r="Y52" s="6" t="inlineStr">
        <is>
          <t>Thiếu từ khóa (50%)</t>
        </is>
      </c>
      <c r="Z52" s="6" t="inlineStr">
        <is>
          <t>PARTIAL</t>
        </is>
      </c>
      <c r="AA52" s="6">
        <f>IF(Z52="",X52,Z52)</f>
        <v/>
      </c>
      <c r="AB52" s="6" t="inlineStr">
        <is>
          <t>DEF-14</t>
        </is>
      </c>
      <c r="AC52" s="6" t="inlineStr">
        <is>
          <t>[AI] Đúng số VBHN 5325 nhưng sai ngày (03/02/2016 là ngày NĐ 11/2016), thiếu NĐ 140/2018</t>
        </is>
      </c>
    </row>
    <row r="53">
      <c r="A53" s="6" t="inlineStr">
        <is>
          <t>LAW_C_012</t>
        </is>
      </c>
      <c r="B53" s="6" t="inlineStr">
        <is>
          <t>Navigation</t>
        </is>
      </c>
      <c r="C53" s="6" t="inlineStr">
        <is>
          <t>Muốn tra quy định về tiền lương theo hệ thống văn bản trước BLLĐ 2019, mục lục có văn bản hợp nhất nào?</t>
        </is>
      </c>
      <c r="D53" s="6" t="inlineStr">
        <is>
          <t>VBHN số 4759/VBHN-BLĐTBXH ngày 12/11/2018 hợp nhất Nghị định 49/2013/NĐ-CP và sửa đổi liên quan.</t>
        </is>
      </c>
      <c r="E53" s="6" t="inlineStr">
        <is>
          <t>Căn cứ: phần “Mục lục”, trang 2. Nội dung được tài liệu xác nhận: VBHN số 4759/VBHN-BLĐTBXH ngày 12/11/2018 hợp nhất Nghị định 49/2013/NĐ-CP và sửa đổi liên quan.</t>
        </is>
      </c>
      <c r="F53" s="6" t="n">
        <v>2</v>
      </c>
      <c r="G53" s="6" t="inlineStr">
        <is>
          <t>Mục lục</t>
        </is>
      </c>
      <c r="H53" s="6" t="inlineStr">
        <is>
          <t>4759/VBHN-BLĐTBXH | tiền lương</t>
        </is>
      </c>
      <c r="I53" s="6" t="inlineStr">
        <is>
          <t>Medium</t>
        </is>
      </c>
      <c r="J53" s="6" t="inlineStr">
        <is>
          <t>Single Chunk</t>
        </is>
      </c>
      <c r="K53" s="6" t="inlineStr">
        <is>
          <t>Yes</t>
        </is>
      </c>
      <c r="L53" s="6" t="inlineStr">
        <is>
          <t>Answer from document</t>
        </is>
      </c>
      <c r="M53" s="6" t="n"/>
      <c r="N53" s="6" t="inlineStr">
        <is>
          <t>luu-ban-nhap-tu-dong-3-4</t>
        </is>
      </c>
      <c r="O53" s="6" t="inlineStr">
        <is>
          <t>Dựa trên phần mục lục của tài liệu được cung cấp, văn bản hợp nhất liên quan đến tiền lương trước BLLĐ 2019 là:
- Văn bản hợp nhất số 4759/VBHN-BLĐTBXH ngày 12/11/2018 (hoặc Văn bản hợp nhất số 4759/VBHN CP ngày 14/05/2013) của Bộ Lao động - Thương binh và Xã hội hợp nhất Nghị định quy định chi tiết thi hành một số điều của Bộ luật Lao động về tiền lương [SOURCE_1].</t>
        </is>
      </c>
      <c r="P53" s="6" t="inlineStr">
        <is>
          <t>[SOURCE_1] luu-ban-nhap-tu-dong-3-4 | tr.2 | MỤC LỤC | 0.8687</t>
        </is>
      </c>
      <c r="Q53" s="6" t="inlineStr">
        <is>
          <t>[SOURCE_1] luu-ban-nhap-tu-dong-3-4 | tr.2 | MỤC LỤC | 0.8687
[SOURCE_2] luu-ban-nhap-tu-dong-3-4 | tr.413 | XÁC THỰC VĂN BẢN HỢP NHẤT KT. BỘ TRƯỞNG THỨ TRƯỞNG | 0.4326
[SOURCE_3] ILO-VCCI_Labour-Law-Guide-Book-V04-Final | tr.22 | 10. Học nghề, tập nghề và hợp đồng đào tạo nghề | 0.4101
[SOURCE_4] ILO-VCCI_Labour-Law-Guide-Book-V04-Final | tr.93 | II. THANG LƯƠNG, BẢNG LƯƠNG VÀ ĐỊNH MỨC LAO ĐỘNG &gt; 1. Các ng | 0.375</t>
        </is>
      </c>
      <c r="R53" s="6" t="inlineStr">
        <is>
          <t>gemini-3.5-flash-lite</t>
        </is>
      </c>
      <c r="S53" s="6" t="n">
        <v>30.1</v>
      </c>
      <c r="T53" s="7" t="n">
        <v>1</v>
      </c>
      <c r="U53" s="7" t="n">
        <v>0.8095238095238095</v>
      </c>
      <c r="V53" s="6" t="inlineStr">
        <is>
          <t>Yes</t>
        </is>
      </c>
      <c r="W53" s="6" t="inlineStr">
        <is>
          <t>Yes</t>
        </is>
      </c>
      <c r="X53" s="6" t="inlineStr">
        <is>
          <t>PASS</t>
        </is>
      </c>
      <c r="Y53" s="6" t="inlineStr"/>
      <c r="Z53" s="6" t="inlineStr">
        <is>
          <t>PARTIAL</t>
        </is>
      </c>
      <c r="AA53" s="6">
        <f>IF(Z53="",X53,Z53)</f>
        <v/>
      </c>
      <c r="AB53" s="6" t="inlineStr">
        <is>
          <t>DEF-14</t>
        </is>
      </c>
      <c r="AC53" s="6" t="inlineStr">
        <is>
          <t>[AI] PASS oan của scorer: đúng VBHN 4759 nhưng tự ghép thêm 'VBHN 4759/VBHN CP ngày 14/05/2013' không có trong tài liệu</t>
        </is>
      </c>
    </row>
    <row r="54">
      <c r="A54" s="6" t="inlineStr">
        <is>
          <t>LAW_C_013</t>
        </is>
      </c>
      <c r="B54" s="6" t="inlineStr">
        <is>
          <t>Navigation</t>
        </is>
      </c>
      <c r="C54" s="6" t="inlineStr">
        <is>
          <t>Văn bản nào trong mục lục quy định chi tiết về thời giờ làm việc, nghỉ ngơi và an toàn, vệ sinh lao động?</t>
        </is>
      </c>
      <c r="D54" s="6" t="inlineStr">
        <is>
          <t>Nghị định số 45/2013/NĐ-CP ngày 10/05/2013.</t>
        </is>
      </c>
      <c r="E54" s="6" t="inlineStr">
        <is>
          <t>Căn cứ: phần “Mục lục”, trang 4. Nội dung được tài liệu xác nhận: Nghị định số 45/2013/NĐ-CP ngày 10/05/2013.</t>
        </is>
      </c>
      <c r="F54" s="6" t="n">
        <v>4</v>
      </c>
      <c r="G54" s="6" t="inlineStr">
        <is>
          <t>Mục lục</t>
        </is>
      </c>
      <c r="H54" s="6" t="inlineStr">
        <is>
          <t>45/2013/NĐ-CP | thời giờ | nghỉ ngơi | an toàn</t>
        </is>
      </c>
      <c r="I54" s="6" t="inlineStr">
        <is>
          <t>Medium</t>
        </is>
      </c>
      <c r="J54" s="6" t="inlineStr">
        <is>
          <t>Single Chunk</t>
        </is>
      </c>
      <c r="K54" s="6" t="inlineStr">
        <is>
          <t>Yes</t>
        </is>
      </c>
      <c r="L54" s="6" t="inlineStr">
        <is>
          <t>Answer from document</t>
        </is>
      </c>
      <c r="M54" s="6" t="n"/>
      <c r="N54" s="6" t="inlineStr">
        <is>
          <t>luu-ban-nhap-tu-dong-3-4</t>
        </is>
      </c>
      <c r="O54" s="6" t="inlineStr">
        <is>
          <t>Dựa trên tài liệu được cung cấp, văn bản quy định chi tiết một số điều của Bộ luật Lao động về thời giờ làm việc, thời giờ nghỉ ngơi và an toàn lao động, vệ sinh lao động là Nghị định số 46/2013/NĐ-CP ngày 10 tháng 05 năm 2013 của Chính phủ [SOURCE_1], hoặc Nghị định quy định chi tiết một số điều của Bộ luật lao động về thời giờ làm việc, thời giờ nghỉ ngơi và an toàn lao động, vệ sinh lao động ban hành năm 2013 dựa trên Bộ luật lao động ngày 18 tháng 6 năm 2012 [SOURCE_4].</t>
        </is>
      </c>
      <c r="P54" s="6" t="inlineStr">
        <is>
          <t>[SOURCE_1] so-tay-kien-thuc-phap-luat-lao-dong-cdi | tr.52 | Lĩnh vực việc làm | 0.995
[SOURCE_4] luu-ban-nhap-tu-dong-3-4 | tr.556 | NGHỊ ĐỊNH | 0.9913</t>
        </is>
      </c>
      <c r="Q54" s="6" t="inlineStr">
        <is>
          <t>[SOURCE_1] so-tay-kien-thuc-phap-luat-lao-dong-cdi | tr.52 | Lĩnh vực việc làm | 0.995
[SOURCE_2] luu-ban-nhap-tu-dong-3-4 | tr.568 | Chương IV &gt; QUAN LÝ NHAN UOC VE THOI GIO LAM VIEC, THOI GIO  | 0.9929
[SOURCE_3] luu-ban-nhap-tu-dong-3-4 | tr.570 | . ChươngV DIEU KHOAN THI HANH &gt; Điều 26. Hiệu lực thi hành | 0.9919
[SOURCE_4] luu-ban-nhap-tu-dong-3-4 | tr.556 | NGHỊ ĐỊNH | 0.9913
[SOURCE_5] luu-ban-nhap-tu-dong-3-4 | tr.568 | Chương IV &gt; QUAN LÝ NHAN UOC VE THOI GIO LAM VIEC, THOI GIO  | 0.9868</t>
        </is>
      </c>
      <c r="R54" s="6" t="inlineStr">
        <is>
          <t>gemini-3.5-flash-lite</t>
        </is>
      </c>
      <c r="S54" s="6" t="n">
        <v>18.5</v>
      </c>
      <c r="T54" s="7" t="n">
        <v>0.75</v>
      </c>
      <c r="U54" s="7" t="n">
        <v>0.9090909090909091</v>
      </c>
      <c r="V54" s="6" t="inlineStr">
        <is>
          <t>Yes</t>
        </is>
      </c>
      <c r="W54" s="6" t="inlineStr">
        <is>
          <t>No</t>
        </is>
      </c>
      <c r="X54" s="6" t="inlineStr">
        <is>
          <t>PASS</t>
        </is>
      </c>
      <c r="Y54" s="6" t="inlineStr">
        <is>
          <t>Không trích đúng trang 4 (±1)</t>
        </is>
      </c>
      <c r="Z54" s="6" t="inlineStr">
        <is>
          <t>FAIL</t>
        </is>
      </c>
      <c r="AA54" s="6">
        <f>IF(Z54="",X54,Z54)</f>
        <v/>
      </c>
      <c r="AB54" s="6" t="inlineStr">
        <is>
          <t>DEF-14</t>
        </is>
      </c>
      <c r="AC54" s="6" t="inlineStr">
        <is>
          <t>[AI] PASS oan của scorer, sai pháp lý: nêu Nghị định 46/2013 (tranh chấp) thay vì 45/2013 (thời giờ làm việc)</t>
        </is>
      </c>
    </row>
    <row r="55">
      <c r="A55" s="6" t="inlineStr">
        <is>
          <t>LAW_C_014</t>
        </is>
      </c>
      <c r="B55" s="6" t="inlineStr">
        <is>
          <t>Navigation</t>
        </is>
      </c>
      <c r="C55" s="6" t="inlineStr">
        <is>
          <t>Muốn tra danh mục công việc nhẹ được sử dụng người dưới 15 tuổi, tài liệu liệt kê thông tư nào?</t>
        </is>
      </c>
      <c r="D55" s="6" t="inlineStr">
        <is>
          <t>Thông tư số 11/2013/TT-BLĐTBXH ngày 11/06/2013.</t>
        </is>
      </c>
      <c r="E55" s="6" t="inlineStr">
        <is>
          <t>Căn cứ: phần “Mục lục”, trang 5. Nội dung được tài liệu xác nhận: Thông tư số 11/2013/TT-BLĐTBXH ngày 11/06/2013.</t>
        </is>
      </c>
      <c r="F55" s="6" t="n">
        <v>5</v>
      </c>
      <c r="G55" s="6" t="inlineStr">
        <is>
          <t>Mục lục</t>
        </is>
      </c>
      <c r="H55" s="6" t="inlineStr">
        <is>
          <t>11/2013/TT-BLĐTBXH | dưới 15 tuổi</t>
        </is>
      </c>
      <c r="I55" s="6" t="inlineStr">
        <is>
          <t>Medium</t>
        </is>
      </c>
      <c r="J55" s="6" t="inlineStr">
        <is>
          <t>Single Chunk</t>
        </is>
      </c>
      <c r="K55" s="6" t="inlineStr">
        <is>
          <t>Yes</t>
        </is>
      </c>
      <c r="L55" s="6" t="inlineStr">
        <is>
          <t>Answer from document</t>
        </is>
      </c>
      <c r="M55" s="6" t="n"/>
      <c r="N55" s="6" t="inlineStr">
        <is>
          <t>luu-ban-nhap-tu-dong-3-4</t>
        </is>
      </c>
      <c r="O55" s="6" t="inlineStr">
        <is>
          <t>Dựa trên tài liệu được cung cấp, để tra danh mục công việc nhẹ được sử dụng người dưới 15 tuổi, các tài liệu có nhắc đến các thông tư sau:
* Thông tư số 11/2013/TT-BLĐTBXH ngày 11 tháng 06 năm 2013 của Bộ Lao động Thương binh và Xã hội về việc ban hành Danh mục công việc nhẹ được sử dụng người dưới 15 tuổi làm việc [SOURCE_1], [SOURCE_2].
* Thông tư số 14/2013/TT-BLĐTBXH ngày 11 tháng 06 năm 2013 của Bộ trưởng Bộ Lao động - Thương binh và Xã hội (lưu ý: tài liệu có ghi nhầm lẫn là Thông tư số 14/2013/TT-BLDTBXH) ban hành danh mục công việc nhẹ được sử dụng người dưới 15 tuổi làm việc [SOURCE_3], [SOURCE_4].</t>
        </is>
      </c>
      <c r="P55" s="6" t="inlineStr">
        <is>
          <t>[SOURCE_1] so-tay-kien-thuc-phap-luat-lao-dong-cdi | tr.52 | Lĩnh vực việc làm | 0.9898
[SOURCE_2] luu-ban-nhap-tu-dong-3-4 | tr.5 | MỤC LỤC | 0.9888
[SOURCE_3] luu-ban-nhap-tu-dong-3-4 | tr.739 | DANH MỤC &gt; Công việc nhẹ được sử dụng người đưới 15 tudi làm | 0.9854
[SOURCE_4] luu-ban-nhap-tu-dong-3-4 | tr.737 | Điều 1. | 0.9744</t>
        </is>
      </c>
      <c r="Q55" s="6" t="inlineStr">
        <is>
          <t>[SOURCE_1] so-tay-kien-thuc-phap-luat-lao-dong-cdi | tr.52 | Lĩnh vực việc làm | 0.9898
[SOURCE_2] luu-ban-nhap-tu-dong-3-4 | tr.5 | MỤC LỤC | 0.9888
[SOURCE_3] luu-ban-nhap-tu-dong-3-4 | tr.739 | DANH MỤC &gt; Công việc nhẹ được sử dụng người đưới 15 tudi làm | 0.9854
[SOURCE_4] luu-ban-nhap-tu-dong-3-4 | tr.737 | Điều 1. | 0.9744
[SOURCE_5] luu-ban-nhap-tu-dong-3-4 | tr.737 | Điều 2. | 0.9603</t>
        </is>
      </c>
      <c r="R55" s="6" t="inlineStr">
        <is>
          <t>gemini-3.5-flash-lite</t>
        </is>
      </c>
      <c r="S55" s="6" t="n">
        <v>15.2</v>
      </c>
      <c r="T55" s="7" t="n">
        <v>1</v>
      </c>
      <c r="U55" s="7" t="n">
        <v>1</v>
      </c>
      <c r="V55" s="6" t="inlineStr">
        <is>
          <t>Yes</t>
        </is>
      </c>
      <c r="W55" s="6" t="inlineStr">
        <is>
          <t>Yes</t>
        </is>
      </c>
      <c r="X55" s="6" t="inlineStr">
        <is>
          <t>PASS</t>
        </is>
      </c>
      <c r="Y55" s="6" t="inlineStr"/>
      <c r="Z55" s="6" t="inlineStr">
        <is>
          <t>PASS</t>
        </is>
      </c>
      <c r="AA55" s="6">
        <f>IF(Z55="",X55,Z55)</f>
        <v/>
      </c>
      <c r="AB55" s="6" t="n"/>
      <c r="AC55" s="6" t="inlineStr">
        <is>
          <t>[AI] Không chắc: đúng TT 11/2013; thêm TT 14/2013 và nhận xét 'tài liệu ghi nhầm' cần SME xem</t>
        </is>
      </c>
    </row>
    <row r="56">
      <c r="A56" s="6" t="inlineStr">
        <is>
          <t>LAW_C_015</t>
        </is>
      </c>
      <c r="B56" s="6" t="inlineStr">
        <is>
          <t>Multi-hop</t>
        </is>
      </c>
      <c r="C56" s="6" t="inlineStr">
        <is>
          <t>Một câu hỏi vừa liên quan hợp đồng lao động vừa liên quan an toàn vệ sinh lao động. Bộ tổng hợp có những nhóm nguồn nào để retrieval?</t>
        </is>
      </c>
      <c r="D56" s="6" t="inlineStr">
        <is>
          <t>Có thể truy xuất BLLĐ 2019, Nghị định 44/2013/NĐ-CP về HĐLĐ và Luật An toàn, vệ sinh lao động 84/2015/QH13 cùng các văn bản hướng dẫn liên quan trong bộ tổng hợp.</t>
        </is>
      </c>
      <c r="E56" s="6" t="inlineStr">
        <is>
          <t>Căn cứ: phần “Mục lục - đa văn bản”, trang 2. Nội dung được tài liệu xác nhận: Có thể truy xuất BLLĐ 2019, Nghị định 44/2013/NĐ-CP về HĐLĐ và Luật An toàn, vệ sinh lao động 84/2015/QH13 cùng các văn bản hướng dẫn liên quan trong bộ tổng hợp.</t>
        </is>
      </c>
      <c r="F56" s="6" t="n">
        <v>2</v>
      </c>
      <c r="G56" s="6" t="inlineStr">
        <is>
          <t>Mục lục - đa văn bản</t>
        </is>
      </c>
      <c r="H56" s="6" t="inlineStr">
        <is>
          <t>BLLĐ 2019 | 44/2013 | 84/2015 | đa văn bản</t>
        </is>
      </c>
      <c r="I56" s="6" t="inlineStr">
        <is>
          <t>Hard</t>
        </is>
      </c>
      <c r="J56" s="6" t="inlineStr">
        <is>
          <t>Multiple Chunks</t>
        </is>
      </c>
      <c r="K56" s="6" t="inlineStr">
        <is>
          <t>Yes</t>
        </is>
      </c>
      <c r="L56" s="6" t="inlineStr">
        <is>
          <t>Answer from document</t>
        </is>
      </c>
      <c r="M56" s="6" t="n"/>
      <c r="N56" s="6" t="inlineStr">
        <is>
          <t>luu-ban-nhap-tu-dong-3-4</t>
        </is>
      </c>
      <c r="O56" s="6" t="inlineStr">
        <is>
          <t>Dựa trên tài liệu được cung cấp, tôi không tìm thấy thông tin để trả lời câu hỏi này.</t>
        </is>
      </c>
      <c r="P56" s="6" t="inlineStr"/>
      <c r="Q56" s="6" t="inlineStr"/>
      <c r="R56" s="6" t="inlineStr">
        <is>
          <t>(no LLM call: early exit)</t>
        </is>
      </c>
      <c r="S56" s="6" t="n">
        <v>17.8</v>
      </c>
      <c r="T56" s="7" t="n">
        <v>0</v>
      </c>
      <c r="U56" s="7" t="n">
        <v>0</v>
      </c>
      <c r="V56" s="6" t="inlineStr">
        <is>
          <t>No</t>
        </is>
      </c>
      <c r="W56" s="6" t="inlineStr">
        <is>
          <t>No</t>
        </is>
      </c>
      <c r="X56" s="6" t="inlineStr">
        <is>
          <t>FAIL</t>
        </is>
      </c>
      <c r="Y56" s="6" t="inlineStr">
        <is>
          <t>Từ chối trả lời dù câu hỏi có đáp án</t>
        </is>
      </c>
      <c r="Z56" s="6" t="inlineStr">
        <is>
          <t>FAIL</t>
        </is>
      </c>
      <c r="AA56" s="6">
        <f>IF(Z56="",X56,Z56)</f>
        <v/>
      </c>
      <c r="AB56" s="6" t="inlineStr">
        <is>
          <t>DEF-03</t>
        </is>
      </c>
      <c r="AC56" s="6" t="inlineStr">
        <is>
          <t>[AI] Từ chối câu hỏi gộp 2 chủ đề</t>
        </is>
      </c>
    </row>
    <row r="57">
      <c r="A57" s="6" t="inlineStr">
        <is>
          <t>LAW_C_016</t>
        </is>
      </c>
      <c r="B57" s="6" t="inlineStr">
        <is>
          <t>Temporal Reasoning</t>
        </is>
      </c>
      <c r="C57" s="6" t="inlineStr">
        <is>
          <t>Tại sao tiêu đề “ĐANG CÓ HIỆU LỰC” của bộ tổng hợp không đủ để kết luận mọi văn bản trong đó còn hiệu lực vào năm 2026?</t>
        </is>
      </c>
      <c r="D57" s="6" t="inlineStr">
        <is>
          <t>Vì trạng thái đó gắn với thời điểm cập nhật hết tháng 3/2020. Để trả lời cho năm 2026 cần nguồn cập nhật sau thời điểm này.</t>
        </is>
      </c>
      <c r="E57" s="6" t="inlineStr">
        <is>
          <t>Căn cứ: phần “Bìa - thời điểm cập nhật”, trang 1. Nội dung được tài liệu xác nhận: Vì trạng thái đó gắn với thời điểm cập nhật hết tháng 3/2020. Để trả lời cho năm 2026 cần nguồn cập nhật sau thời điểm này.</t>
        </is>
      </c>
      <c r="F57" s="6" t="n">
        <v>1</v>
      </c>
      <c r="G57" s="6" t="inlineStr">
        <is>
          <t>Bìa - thời điểm cập nhật</t>
        </is>
      </c>
      <c r="H57" s="6" t="inlineStr">
        <is>
          <t>03/2020 | hiệu lực | 2026 | cần cập nhật</t>
        </is>
      </c>
      <c r="I57" s="6" t="inlineStr">
        <is>
          <t>Hard</t>
        </is>
      </c>
      <c r="J57" s="6" t="inlineStr">
        <is>
          <t>Single Chunk</t>
        </is>
      </c>
      <c r="K57" s="6" t="inlineStr">
        <is>
          <t>Yes</t>
        </is>
      </c>
      <c r="L57" s="6" t="inlineStr">
        <is>
          <t>Answer from document</t>
        </is>
      </c>
      <c r="M57" s="6" t="n"/>
      <c r="N57" s="6" t="inlineStr">
        <is>
          <t>luu-ban-nhap-tu-dong-3-4</t>
        </is>
      </c>
      <c r="O57" s="6" t="inlineStr">
        <is>
          <t>Dựa trên tài liệu được cung cấp, tôi không tìm thấy thông tin để trả lời câu hỏi này.</t>
        </is>
      </c>
      <c r="P57" s="6" t="inlineStr"/>
      <c r="Q57" s="6" t="inlineStr"/>
      <c r="R57" s="6" t="inlineStr">
        <is>
          <t>(no LLM call: early exit)</t>
        </is>
      </c>
      <c r="S57" s="6" t="n">
        <v>16.9</v>
      </c>
      <c r="T57" s="7" t="n">
        <v>0</v>
      </c>
      <c r="U57" s="7" t="n">
        <v>0.09090909090909091</v>
      </c>
      <c r="V57" s="6" t="inlineStr">
        <is>
          <t>No</t>
        </is>
      </c>
      <c r="W57" s="6" t="inlineStr">
        <is>
          <t>No</t>
        </is>
      </c>
      <c r="X57" s="6" t="inlineStr">
        <is>
          <t>FAIL</t>
        </is>
      </c>
      <c r="Y57" s="6" t="inlineStr">
        <is>
          <t>Từ chối trả lời dù câu hỏi có đáp án</t>
        </is>
      </c>
      <c r="Z57" s="6" t="inlineStr">
        <is>
          <t>FAIL</t>
        </is>
      </c>
      <c r="AA57" s="6">
        <f>IF(Z57="",X57,Z57)</f>
        <v/>
      </c>
      <c r="AB57" s="6" t="inlineStr">
        <is>
          <t>DEF-04</t>
        </is>
      </c>
      <c r="AC57" s="6" t="inlineStr">
        <is>
          <t>[AI] Từ chối câu hỏi hiệu lực</t>
        </is>
      </c>
    </row>
    <row r="58">
      <c r="A58" s="6" t="inlineStr">
        <is>
          <t>LAW_C_017</t>
        </is>
      </c>
      <c r="B58" s="6" t="inlineStr">
        <is>
          <t>False Premise</t>
        </is>
      </c>
      <c r="C58" s="6" t="inlineStr">
        <is>
          <t>“Bộ tổng hợp này chỉ chứa Bộ luật Lao động 2019” có đúng không?</t>
        </is>
      </c>
      <c r="D58" s="6" t="inlineStr">
        <is>
          <t>Không. Mục lục cho thấy tài liệu tổng hợp nhiều luật, nghị định, quyết định và thông tư về lao động, BHXH, việc làm, công đoàn, an toàn vệ sinh lao động và các chủ đề liên quan.</t>
        </is>
      </c>
      <c r="E58" s="6" t="inlineStr">
        <is>
          <t>Căn cứ: phần “Mục lục”, trang 2. Nội dung được tài liệu xác nhận: Không. Mục lục cho thấy tài liệu tổng hợp nhiều luật, nghị định, quyết định và thông tư về lao động, BHXH, việc làm, công đoàn, an toàn vệ sinh lao động và các chủ đề liên quan.</t>
        </is>
      </c>
      <c r="F58" s="6" t="n">
        <v>2</v>
      </c>
      <c r="G58" s="6" t="inlineStr">
        <is>
          <t>Mục lục</t>
        </is>
      </c>
      <c r="H58" s="6" t="inlineStr">
        <is>
          <t>nhiều văn bản | luật | nghị định | thông tư</t>
        </is>
      </c>
      <c r="I58" s="6" t="inlineStr">
        <is>
          <t>Hard</t>
        </is>
      </c>
      <c r="J58" s="6" t="inlineStr">
        <is>
          <t>Multiple Chunks</t>
        </is>
      </c>
      <c r="K58" s="6" t="inlineStr">
        <is>
          <t>Yes</t>
        </is>
      </c>
      <c r="L58" s="6" t="inlineStr">
        <is>
          <t>Answer from document</t>
        </is>
      </c>
      <c r="M58" s="6" t="n"/>
      <c r="N58" s="6" t="inlineStr">
        <is>
          <t>luu-ban-nhap-tu-dong-3-4</t>
        </is>
      </c>
      <c r="O58" s="6" t="inlineStr">
        <is>
          <t>Dựa trên tài liệu được cung cấp, nhận định “Bộ tổng hợp này chỉ chứa Bộ luật Lao động 2019” là không hoàn toàn chính xác [SOURCE_1]. 
Bên cạnh Bộ luật Lao động số 45/2019/QH14 (có hiệu lực từ ngày 01 tháng 01 năm 2021), bộ luật này còn được sửa đổi, bổ sung bởi các luật sau đây:
- Luật Công nghiệp công nghệ số số 71/2025/QH15 ngày 14 tháng 6 năm 2025 của Quốc hội [SOURCE_1].
- Luật Dân số số 113/2025/QHI5 ngày 10 tháng 12 năm 2025 của Quốc hội [SOURCE_1].
- Luật Giáo dục nghề nghiệp số 124/2025/QH15 ngày 10 tháng 12 năm 2025 của Quốc hội [SOURCE_1].</t>
        </is>
      </c>
      <c r="P58" s="6" t="inlineStr">
        <is>
          <t>[SOURCE_1] Văn-bản-hợp-nhất-18-VBHN-VPQH | tr.1 | CỘNG HÒA XÃ HỘI CHỦ NGHĨA VIỆT NAM Độc lập - Tự do - Hạnh ph | 0.4754</t>
        </is>
      </c>
      <c r="Q58" s="6" t="inlineStr">
        <is>
          <t>[SOURCE_1] Văn-bản-hợp-nhất-18-VBHN-VPQH | tr.1 | CỘNG HÒA XÃ HỘI CHỦ NGHĨA VIỆT NAM Độc lập - Tự do - Hạnh ph | 0.4754</t>
        </is>
      </c>
      <c r="R58" s="6" t="inlineStr">
        <is>
          <t>gemini-3.5-flash-lite</t>
        </is>
      </c>
      <c r="S58" s="6" t="n">
        <v>22.7</v>
      </c>
      <c r="T58" s="7" t="n">
        <v>0.25</v>
      </c>
      <c r="U58" s="7" t="n">
        <v>0.3636363636363636</v>
      </c>
      <c r="V58" s="6" t="inlineStr">
        <is>
          <t>No</t>
        </is>
      </c>
      <c r="W58" s="6" t="inlineStr">
        <is>
          <t>No</t>
        </is>
      </c>
      <c r="X58" s="6" t="inlineStr">
        <is>
          <t>PARTIAL</t>
        </is>
      </c>
      <c r="Y58" s="6" t="inlineStr">
        <is>
          <t>Thiếu từ khóa (25%); Ít khớp Expected Answer (36%); Không trích tài liệu mong đợi (không có trong ngữ cảnh); Không trích đúng trang 2 (±1)</t>
        </is>
      </c>
      <c r="Z58" s="6" t="inlineStr">
        <is>
          <t>PARTIAL</t>
        </is>
      </c>
      <c r="AA58" s="6">
        <f>IF(Z58="",X58,Z58)</f>
        <v/>
      </c>
      <c r="AB58" s="6" t="inlineStr">
        <is>
          <t>DEF-02</t>
        </is>
      </c>
      <c r="AC58" s="6" t="inlineStr">
        <is>
          <t>[AI] Kết luận đúng 'không' nhưng lý do sai (liệt kê luật sửa đổi BLLĐ từ VBHN, không dùng mục lục bộ tổng hợp)</t>
        </is>
      </c>
    </row>
    <row r="59">
      <c r="A59" s="6" t="inlineStr">
        <is>
          <t>LAW_C_018</t>
        </is>
      </c>
      <c r="B59" s="6" t="inlineStr">
        <is>
          <t>Source Selection</t>
        </is>
      </c>
      <c r="C59" s="6" t="inlineStr">
        <is>
          <t>Nếu câu hỏi yêu cầu quy định BLLĐ 2019 nguyên gốc tại thời điểm ban hành, bộ tổng hợp có phù hợp không?</t>
        </is>
      </c>
      <c r="D59" s="6" t="inlineStr">
        <is>
          <t>Có thể phù hợp vì tài liệu chứa Bộ luật Lao động 45/2019/QH14. Tuy nhiên cần phân biệt với yêu cầu “hiện hành 2026”, khi đó phải ưu tiên nguồn hợp nhất/cập nhật mới hơn.</t>
        </is>
      </c>
      <c r="E59" s="6" t="inlineStr">
        <is>
          <t>Căn cứ: phần “Mục lục/BLLĐ 2019”, trang 2. Nội dung được tài liệu xác nhận: Có thể phù hợp vì tài liệu chứa Bộ luật Lao động 45/2019/QH14. Tuy nhiên cần phân biệt với yêu cầu “hiện hành 2026”, khi đó phải ưu tiên nguồn hợp nhất/cập nhật mới hơn.</t>
        </is>
      </c>
      <c r="F59" s="6" t="n">
        <v>2</v>
      </c>
      <c r="G59" s="6" t="inlineStr">
        <is>
          <t>Mục lục/BLLĐ 2019</t>
        </is>
      </c>
      <c r="H59" s="6" t="inlineStr">
        <is>
          <t>nguyên gốc 2019 | hiện hành 2026 | nguồn cập nhật</t>
        </is>
      </c>
      <c r="I59" s="6" t="inlineStr">
        <is>
          <t>Hard</t>
        </is>
      </c>
      <c r="J59" s="6" t="inlineStr">
        <is>
          <t>Multiple Chunks</t>
        </is>
      </c>
      <c r="K59" s="6" t="inlineStr">
        <is>
          <t>Yes</t>
        </is>
      </c>
      <c r="L59" s="6" t="inlineStr">
        <is>
          <t>Answer from document</t>
        </is>
      </c>
      <c r="M59" s="6" t="n"/>
      <c r="N59" s="6" t="inlineStr">
        <is>
          <t>luu-ban-nhap-tu-dong-3-4</t>
        </is>
      </c>
      <c r="O59" s="6" t="inlineStr">
        <is>
          <t>Dựa trên tài liệu được cung cấp, tôi không tìm thấy thông tin để trả lời câu hỏi này.</t>
        </is>
      </c>
      <c r="P59" s="6" t="inlineStr"/>
      <c r="Q59" s="6" t="inlineStr">
        <is>
          <t>[SOURCE_1] ILO-VCCI_Labour-Law-Guide-Book-V04-Final | tr.57 | I. TỔNG QUAN VỀ TỔ CHỨC CỦA NGƯỜI LAO ĐỘNG TẠI DOANH NGHIỆP  | 0.5388
[SOURCE_2] ILO-VCCI_Labour-Law-Guide-Book-V04-Final | tr.131 | K ẾT LUẬN | 0.4831</t>
        </is>
      </c>
      <c r="R59" s="6" t="inlineStr">
        <is>
          <t>gemini-3.5-flash-lite</t>
        </is>
      </c>
      <c r="S59" s="6" t="n">
        <v>19.3</v>
      </c>
      <c r="T59" s="7" t="n">
        <v>0</v>
      </c>
      <c r="U59" s="7" t="n">
        <v>0</v>
      </c>
      <c r="V59" s="6" t="inlineStr">
        <is>
          <t>No</t>
        </is>
      </c>
      <c r="W59" s="6" t="inlineStr">
        <is>
          <t>No</t>
        </is>
      </c>
      <c r="X59" s="6" t="inlineStr">
        <is>
          <t>FAIL</t>
        </is>
      </c>
      <c r="Y59" s="6" t="inlineStr">
        <is>
          <t>Từ chối trả lời dù câu hỏi có đáp án</t>
        </is>
      </c>
      <c r="Z59" s="6" t="inlineStr">
        <is>
          <t>FAIL</t>
        </is>
      </c>
      <c r="AA59" s="6">
        <f>IF(Z59="",X59,Z59)</f>
        <v/>
      </c>
      <c r="AB59" s="6" t="inlineStr">
        <is>
          <t>DEF-04</t>
        </is>
      </c>
      <c r="AC59" s="6" t="inlineStr">
        <is>
          <t>[AI] Từ chối câu hỏi chọn nguồn</t>
        </is>
      </c>
    </row>
    <row r="60">
      <c r="A60" s="6" t="inlineStr">
        <is>
          <t>LAW_C_019</t>
        </is>
      </c>
      <c r="B60" s="6" t="inlineStr">
        <is>
          <t>Multi-document</t>
        </is>
      </c>
      <c r="C60" s="6" t="inlineStr">
        <is>
          <t>Một truy vấn về người lao động nước ngoài và BHXH bắt buộc nên mở rộng retrieval đến những văn bản nào trong mục lục?</t>
        </is>
      </c>
      <c r="D60" s="6" t="inlineStr">
        <is>
          <t>Ít nhất đến văn bản về lao động nước ngoài (VBHN 5325/VBHN-BLĐTBXH) và Nghị định 143/2018/NĐ-CP về BHXH bắt buộc đối với NLĐ là công dân nước ngoài làm việc tại Việt Nam.</t>
        </is>
      </c>
      <c r="E60" s="6" t="inlineStr">
        <is>
          <t>Căn cứ: phần “Mục lục - lao động nước ngoài/BHXH”, trang 3. Nội dung được tài liệu xác nhận: Ít nhất đến văn bản về lao động nước ngoài (VBHN 5325/VBHN-BLĐTBXH) và Nghị định 143/2018/NĐ-CP về BHXH bắt buộc đối với NLĐ là công dân nước ngoài làm việc tại Việt Nam.</t>
        </is>
      </c>
      <c r="F60" s="6" t="n">
        <v>3</v>
      </c>
      <c r="G60" s="6" t="inlineStr">
        <is>
          <t>Mục lục - lao động nước ngoài/BHXH</t>
        </is>
      </c>
      <c r="H60" s="6" t="inlineStr">
        <is>
          <t>5325/VBHN | 143/2018 | lao động nước ngoài | BHXH</t>
        </is>
      </c>
      <c r="I60" s="6" t="inlineStr">
        <is>
          <t>Hard</t>
        </is>
      </c>
      <c r="J60" s="6" t="inlineStr">
        <is>
          <t>Multiple Chunks</t>
        </is>
      </c>
      <c r="K60" s="6" t="inlineStr">
        <is>
          <t>Yes</t>
        </is>
      </c>
      <c r="L60" s="6" t="inlineStr">
        <is>
          <t>Answer from document</t>
        </is>
      </c>
      <c r="M60" s="6" t="n"/>
      <c r="N60" s="6" t="inlineStr">
        <is>
          <t>luu-ban-nhap-tu-dong-3-4</t>
        </is>
      </c>
      <c r="O60" s="6" t="inlineStr">
        <is>
          <t>Dựa trên tài liệu được cung cấp, tôi không tìm thấy thông tin để trả lời câu hỏi này.</t>
        </is>
      </c>
      <c r="P60" s="6" t="inlineStr"/>
      <c r="Q60" s="6" t="inlineStr"/>
      <c r="R60" s="6" t="inlineStr">
        <is>
          <t>(no LLM call: early exit)</t>
        </is>
      </c>
      <c r="S60" s="6" t="n">
        <v>13.8</v>
      </c>
      <c r="T60" s="7" t="n">
        <v>0</v>
      </c>
      <c r="U60" s="7" t="n">
        <v>0</v>
      </c>
      <c r="V60" s="6" t="inlineStr">
        <is>
          <t>No</t>
        </is>
      </c>
      <c r="W60" s="6" t="inlineStr">
        <is>
          <t>No</t>
        </is>
      </c>
      <c r="X60" s="6" t="inlineStr">
        <is>
          <t>FAIL</t>
        </is>
      </c>
      <c r="Y60" s="6" t="inlineStr">
        <is>
          <t>Từ chối trả lời dù câu hỏi có đáp án</t>
        </is>
      </c>
      <c r="Z60" s="6" t="inlineStr">
        <is>
          <t>FAIL</t>
        </is>
      </c>
      <c r="AA60" s="6">
        <f>IF(Z60="",X60,Z60)</f>
        <v/>
      </c>
      <c r="AB60" s="6" t="inlineStr">
        <is>
          <t>DEF-03</t>
        </is>
      </c>
      <c r="AC60" s="6" t="inlineStr">
        <is>
          <t>[AI] Từ chối câu hỏi nhiều văn bản</t>
        </is>
      </c>
    </row>
    <row r="61">
      <c r="A61" s="6" t="inlineStr">
        <is>
          <t>LAW_C_020</t>
        </is>
      </c>
      <c r="B61" s="6" t="inlineStr">
        <is>
          <t>Multi-document</t>
        </is>
      </c>
      <c r="C61" s="6" t="inlineStr">
        <is>
          <t>Một truy vấn về lao động nữ vừa hỏi công việc bị cấm vừa hỏi chính sách bảo vệ nên retrieval đến những nguồn nào trong bộ tổng hợp?</t>
        </is>
      </c>
      <c r="D61" s="6" t="inlineStr">
        <is>
          <t>Có thể cần Nghị định 85/2015/NĐ-CP về chính sách đối với lao động nữ và Thông tư 26/2013/TT-BLĐTBXH về danh mục công việc không được sử dụng lao động nữ, cùng quy định liên quan trong BLLĐ.</t>
        </is>
      </c>
      <c r="E61" s="6" t="inlineStr">
        <is>
          <t>Căn cứ: phần “Mục lục - lao động nữ”, trang 3. Nội dung được tài liệu xác nhận: Có thể cần Nghị định 85/2015/NĐ-CP về chính sách đối với lao động nữ và Thông tư 26/2013/TT-BLĐTBXH về danh mục công việc không được sử dụng lao động nữ, cùng quy định liên quan trong BLLĐ.</t>
        </is>
      </c>
      <c r="F61" s="6" t="n">
        <v>3</v>
      </c>
      <c r="G61" s="6" t="inlineStr">
        <is>
          <t>Mục lục - lao động nữ</t>
        </is>
      </c>
      <c r="H61" s="6" t="inlineStr">
        <is>
          <t>85/2015 | 26/2013 | lao động nữ</t>
        </is>
      </c>
      <c r="I61" s="6" t="inlineStr">
        <is>
          <t>Hard</t>
        </is>
      </c>
      <c r="J61" s="6" t="inlineStr">
        <is>
          <t>Multiple Chunks</t>
        </is>
      </c>
      <c r="K61" s="6" t="inlineStr">
        <is>
          <t>Yes</t>
        </is>
      </c>
      <c r="L61" s="6" t="inlineStr">
        <is>
          <t>Answer from document</t>
        </is>
      </c>
      <c r="M61" s="6" t="n"/>
      <c r="N61" s="6" t="inlineStr">
        <is>
          <t>luu-ban-nhap-tu-dong-3-4</t>
        </is>
      </c>
      <c r="O61" s="6" t="inlineStr">
        <is>
          <t>Dựa trên tài liệu được cung cấp, tôi không tìm thấy thông tin để trả lời câu hỏi này.</t>
        </is>
      </c>
      <c r="P61" s="6" t="inlineStr"/>
      <c r="Q61" s="6" t="inlineStr"/>
      <c r="R61" s="6" t="inlineStr">
        <is>
          <t>(no LLM call: early exit)</t>
        </is>
      </c>
      <c r="S61" s="6" t="n">
        <v>21</v>
      </c>
      <c r="T61" s="7" t="n">
        <v>0</v>
      </c>
      <c r="U61" s="7" t="n">
        <v>0.02631578947368421</v>
      </c>
      <c r="V61" s="6" t="inlineStr">
        <is>
          <t>No</t>
        </is>
      </c>
      <c r="W61" s="6" t="inlineStr">
        <is>
          <t>No</t>
        </is>
      </c>
      <c r="X61" s="6" t="inlineStr">
        <is>
          <t>FAIL</t>
        </is>
      </c>
      <c r="Y61" s="6" t="inlineStr">
        <is>
          <t>Từ chối trả lời dù câu hỏi có đáp án</t>
        </is>
      </c>
      <c r="Z61" s="6" t="inlineStr">
        <is>
          <t>FAIL</t>
        </is>
      </c>
      <c r="AA61" s="6">
        <f>IF(Z61="",X61,Z61)</f>
        <v/>
      </c>
      <c r="AB61" s="6" t="inlineStr">
        <is>
          <t>DEF-03</t>
        </is>
      </c>
      <c r="AC61" s="6" t="inlineStr">
        <is>
          <t>[AI] Từ chối câu hỏi nhiều văn bản</t>
        </is>
      </c>
    </row>
    <row r="62">
      <c r="A62" s="6" t="inlineStr">
        <is>
          <t>LAW_D_001</t>
        </is>
      </c>
      <c r="B62" s="6" t="inlineStr">
        <is>
          <t>Direct Fact</t>
        </is>
      </c>
      <c r="C62" s="6" t="inlineStr">
        <is>
          <t>Cẩm nang ILO-VCCI được xây dựng để hỗ trợ chủ thể nào?</t>
        </is>
      </c>
      <c r="D62" s="6" t="inlineStr">
        <is>
          <t>Chủ yếu hỗ trợ người sử dụng lao động/doanh nghiệp cập nhật và tuân thủ các thay đổi của BLLĐ 2019.</t>
        </is>
      </c>
      <c r="E62" s="6" t="inlineStr">
        <is>
          <t>Căn cứ: phần “Lời nói đầu”, trang None. Nội dung được tài liệu xác nhận: Chủ yếu hỗ trợ người sử dụng lao động/doanh nghiệp cập nhật và tuân thủ các thay đổi của BLLĐ 2019.</t>
        </is>
      </c>
      <c r="F62" s="6" t="n"/>
      <c r="G62" s="6" t="inlineStr">
        <is>
          <t>Lời nói đầu</t>
        </is>
      </c>
      <c r="H62" s="6" t="inlineStr">
        <is>
          <t>NSDLĐ | doanh nghiệp | BLLĐ 2019</t>
        </is>
      </c>
      <c r="I62" s="6" t="inlineStr">
        <is>
          <t>Easy</t>
        </is>
      </c>
      <c r="J62" s="6" t="inlineStr">
        <is>
          <t>Single Chunk</t>
        </is>
      </c>
      <c r="K62" s="6" t="inlineStr">
        <is>
          <t>Yes</t>
        </is>
      </c>
      <c r="L62" s="6" t="inlineStr">
        <is>
          <t>Answer from document</t>
        </is>
      </c>
      <c r="M62" s="6" t="n"/>
      <c r="N62" s="6" t="inlineStr">
        <is>
          <t>ILO-VCCI_Labour-Law-Guide-Book-V04-Final</t>
        </is>
      </c>
      <c r="O62" s="6" t="inlineStr">
        <is>
          <t>Cẩm nang ILO-VCCI được xây dựng để hỗ trợ người sử dụng lao động (NSDLĐ) đáp ứng những thay đổi của Bộ luật Lao động 2019, giúp họ cập nhật các quy định mới so với BLLĐ 2012 và tuân thủ đúng các quy định hiện hành trong quan hệ lao động [SOURCE_2].</t>
        </is>
      </c>
      <c r="P62" s="6" t="inlineStr">
        <is>
          <t>[SOURCE_2] ILO-VCCI_Labour-Law-Guide-Book-V04-Final | tr.3 | Vai trò và mục tiêu của Cẩm nang Thực hiện BLLĐ 2019 đối với | 0.6319</t>
        </is>
      </c>
      <c r="Q62" s="6" t="inlineStr">
        <is>
          <t>[SOURCE_1] ILO-VCCI_Labour-Law-Guide-Book-V04-Final | tr.4 | C ẨM NANG THỰC HIỆN BỘ LUẬT LAO ĐỘNG 2019 TẠI DOANH NGHIỆP | 0.7928
[SOURCE_2] ILO-VCCI_Labour-Law-Guide-Book-V04-Final | tr.3 | Vai trò và mục tiêu của Cẩm nang Thực hiện BLLĐ 2019 đối với | 0.6319
[SOURCE_3] ILO-VCCI_Labour-Law-Guide-Book-V04-Final | tr.4 | C ẨM NANG THỰC HIỆN BỘ LUẬT LAO ĐỘNG 2019 TẠI DOANH NGHIỆP | 0.5045</t>
        </is>
      </c>
      <c r="R62" s="6" t="inlineStr">
        <is>
          <t>gemini-3.5-flash-lite</t>
        </is>
      </c>
      <c r="S62" s="6" t="n">
        <v>19.8</v>
      </c>
      <c r="T62" s="7" t="n">
        <v>0.6666666666666666</v>
      </c>
      <c r="U62" s="7" t="n">
        <v>0.8181818181818182</v>
      </c>
      <c r="V62" s="6" t="inlineStr">
        <is>
          <t>Yes</t>
        </is>
      </c>
      <c r="W62" s="6" t="inlineStr">
        <is>
          <t>n/a</t>
        </is>
      </c>
      <c r="X62" s="6" t="inlineStr">
        <is>
          <t>PARTIAL</t>
        </is>
      </c>
      <c r="Y62" s="6" t="inlineStr">
        <is>
          <t>Thiếu từ khóa (67%)</t>
        </is>
      </c>
      <c r="Z62" s="6" t="inlineStr">
        <is>
          <t>PASS</t>
        </is>
      </c>
      <c r="AA62" s="6">
        <f>IF(Z62="",X62,Z62)</f>
        <v/>
      </c>
      <c r="AB62" s="6" t="n"/>
      <c r="AC62" s="6" t="inlineStr">
        <is>
          <t>[AI] Đúng; scorer chấm thiếu từ khóa oan</t>
        </is>
      </c>
    </row>
    <row r="63">
      <c r="A63" s="6" t="inlineStr">
        <is>
          <t>LAW_D_002</t>
        </is>
      </c>
      <c r="B63" s="6" t="inlineStr">
        <is>
          <t>Direct Fact</t>
        </is>
      </c>
      <c r="C63" s="6" t="inlineStr">
        <is>
          <t>Cẩm nang so sánh chủ yếu hai phiên bản Bộ luật Lao động nào?</t>
        </is>
      </c>
      <c r="D63" s="6" t="inlineStr">
        <is>
          <t>BLLĐ 2012 và BLLĐ 2019.</t>
        </is>
      </c>
      <c r="E63" s="6" t="inlineStr">
        <is>
          <t>Căn cứ: phần “Lời nói đầu”, trang None. Nội dung được tài liệu xác nhận: BLLĐ 2012 và BLLĐ 2019.</t>
        </is>
      </c>
      <c r="F63" s="6" t="n"/>
      <c r="G63" s="6" t="inlineStr">
        <is>
          <t>Lời nói đầu</t>
        </is>
      </c>
      <c r="H63" s="6" t="inlineStr">
        <is>
          <t>BLLĐ 2012 | BLLĐ 2019</t>
        </is>
      </c>
      <c r="I63" s="6" t="inlineStr">
        <is>
          <t>Easy</t>
        </is>
      </c>
      <c r="J63" s="6" t="inlineStr">
        <is>
          <t>Single Chunk</t>
        </is>
      </c>
      <c r="K63" s="6" t="inlineStr">
        <is>
          <t>Yes</t>
        </is>
      </c>
      <c r="L63" s="6" t="inlineStr">
        <is>
          <t>Answer from document</t>
        </is>
      </c>
      <c r="M63" s="6" t="n"/>
      <c r="N63" s="6" t="inlineStr">
        <is>
          <t>ILO-VCCI_Labour-Law-Guide-Book-V04-Final</t>
        </is>
      </c>
      <c r="O63" s="6" t="inlineStr">
        <is>
          <t>Dựa trên tài liệu được cung cấp, cẩm nang so sánh chủ yếu sự khác biệt về quy định giữa hai phiên bản là Bộ luật Lao động 2012 (BLLĐ 2012) và Bộ luật Lao động 2019 (BLLĐ 2019) [SOURCE_1].</t>
        </is>
      </c>
      <c r="P63" s="6" t="inlineStr">
        <is>
          <t>[SOURCE_1] ILO-VCCI_Labour-Law-Guide-Book-V04-Final | tr.4 | C ẨM NANG THỰC HIỆN BỘ LUẬT LAO ĐỘNG 2019 TẠI DOANH NGHIỆP | 0.7989</t>
        </is>
      </c>
      <c r="Q63" s="6" t="inlineStr">
        <is>
          <t>[SOURCE_1] ILO-VCCI_Labour-Law-Guide-Book-V04-Final | tr.4 | C ẨM NANG THỰC HIỆN BỘ LUẬT LAO ĐỘNG 2019 TẠI DOANH NGHIỆP | 0.7989
[SOURCE_2] ILO-VCCI_Labour-Law-Guide-Book-V04-Final | tr.131 | K ẾT LUẬN | 0.489</t>
        </is>
      </c>
      <c r="R63" s="6" t="inlineStr">
        <is>
          <t>gemini-3.5-flash-lite</t>
        </is>
      </c>
      <c r="S63" s="6" t="n">
        <v>21.3</v>
      </c>
      <c r="T63" s="7" t="n">
        <v>1</v>
      </c>
      <c r="U63" s="7" t="n">
        <v>1</v>
      </c>
      <c r="V63" s="6" t="inlineStr">
        <is>
          <t>Yes</t>
        </is>
      </c>
      <c r="W63" s="6" t="inlineStr">
        <is>
          <t>n/a</t>
        </is>
      </c>
      <c r="X63" s="6" t="inlineStr">
        <is>
          <t>PASS</t>
        </is>
      </c>
      <c r="Y63" s="6" t="inlineStr"/>
      <c r="Z63" s="6" t="inlineStr">
        <is>
          <t>PASS</t>
        </is>
      </c>
      <c r="AA63" s="6">
        <f>IF(Z63="",X63,Z63)</f>
        <v/>
      </c>
      <c r="AB63" s="6" t="n"/>
      <c r="AC63" s="6" t="inlineStr">
        <is>
          <t>[AI] Đồng ý với chấm tự động</t>
        </is>
      </c>
    </row>
    <row r="64">
      <c r="A64" s="6" t="inlineStr">
        <is>
          <t>LAW_D_003</t>
        </is>
      </c>
      <c r="B64" s="6" t="inlineStr">
        <is>
          <t>List</t>
        </is>
      </c>
      <c r="C64" s="6" t="inlineStr">
        <is>
          <t>Cẩm nang tập trung vào những nhóm nội dung chính nào?</t>
        </is>
      </c>
      <c r="D64" s="6" t="inlineStr">
        <is>
          <t>Gồm quan hệ/HĐLĐ, chấm dứt HĐLĐ, tiền lương, nghỉ lễ-tết và làm thêm giờ, nghỉ hưu, lao động nữ, kỷ luật lao động; đồng thời có đối thoại và thương lượng tập thể.</t>
        </is>
      </c>
      <c r="E64" s="6" t="inlineStr">
        <is>
          <t>Căn cứ: phần “Lời nói đầu/Mục lục”, trang 4. Nội dung được tài liệu xác nhận: Gồm quan hệ/HĐLĐ, chấm dứt HĐLĐ, tiền lương, nghỉ lễ-tết và làm thêm giờ, nghỉ hưu, lao động nữ, kỷ luật lao động; đồng thời có đối thoại và thương lượng tập thể.</t>
        </is>
      </c>
      <c r="F64" s="6" t="n">
        <v>4</v>
      </c>
      <c r="G64" s="6" t="inlineStr">
        <is>
          <t>Lời nói đầu/Mục lục</t>
        </is>
      </c>
      <c r="H64" s="6" t="inlineStr">
        <is>
          <t>HĐLĐ | chấm dứt | tiền lương | làm thêm | nghỉ hưu | lao động nữ | kỷ luật</t>
        </is>
      </c>
      <c r="I64" s="6" t="inlineStr">
        <is>
          <t>Easy</t>
        </is>
      </c>
      <c r="J64" s="6" t="inlineStr">
        <is>
          <t>Single Chunk</t>
        </is>
      </c>
      <c r="K64" s="6" t="inlineStr">
        <is>
          <t>Yes</t>
        </is>
      </c>
      <c r="L64" s="6" t="inlineStr">
        <is>
          <t>Answer from document</t>
        </is>
      </c>
      <c r="M64" s="6" t="n"/>
      <c r="N64" s="6" t="inlineStr">
        <is>
          <t>ILO-VCCI_Labour-Law-Guide-Book-V04-Final</t>
        </is>
      </c>
      <c r="O64" s="6" t="inlineStr">
        <is>
          <t>Dựa trên tài liệu được cung cấp, cẩm nang tập trung vào các thay đổi quan trọng liên quan đến:
* HĐLĐ; hình thức của HĐLĐ; hành vi người sử dụng lao động (NSDLĐ) không được làm khi giao kết, thực hiện HĐLĐ; thời gian thử việc [SOURCE_1].
* Chuyển người lao động (NLĐ) làm công việc khác so với HĐLĐ; tạm hoãn thực hiện HĐLĐ; quyền đơn phương chấm dứt HĐLĐ của NLĐ; quyền đơn phương chấm dứt HĐLĐ của NSDLĐ [SOURCE_1].
* Tổ chức đối thoại tại nơi làm việc; thương lượng tập thể (TLTT); nguyên tắc trả lương; thưởng; làm thêm giờ; nghỉ lễ, tết [SOURCE_1].
* Sử dụng NLĐ cao tuổi; tuổi nghỉ hưu [SOURCE_1].
Bên cạnh đó, nội dung chính của cẩm nang bao gồm: Giới thiệu về TLTTNDN; QHLĐ và HĐLĐ; Chấm dứt HĐLĐ; Tiền lương; Ngày nghỉ lễ, tết – Quy định về làm thêm giờ; Nghỉ hưu; Lao động nữ; KLLĐ [SOURCE_1], [SOURCE_2].</t>
        </is>
      </c>
      <c r="P64" s="6" t="inlineStr">
        <is>
          <t>[SOURCE_1] ILO-VCCI_Labour-Law-Guide-Book-V04-Final | tr.4 | C ẨM NANG THỰC HIỆN BỘ LUẬT LAO ĐỘNG 2019 TẠI DOANH NGHIỆP | 0.9776
[SOURCE_2] ILO-VCCI_Labour-Law-Guide-Book-V04-Final | tr.4 | C ẨM NANG THỰC HIỆN BỘ LUẬT LAO ĐỘNG 2019 TẠI DOANH NGHIỆP | 0.9514</t>
        </is>
      </c>
      <c r="Q64" s="6" t="inlineStr">
        <is>
          <t>[SOURCE_1] ILO-VCCI_Labour-Law-Guide-Book-V04-Final | tr.4 | C ẨM NANG THỰC HIỆN BỘ LUẬT LAO ĐỘNG 2019 TẠI DOANH NGHIỆP | 0.9776
[SOURCE_2] ILO-VCCI_Labour-Law-Guide-Book-V04-Final | tr.4 | C ẨM NANG THỰC HIỆN BỘ LUẬT LAO ĐỘNG 2019 TẠI DOANH NGHIỆP | 0.9514
[SOURCE_3] ILO-VCCI_Labour-Law-Guide-Book-V04-Final | tr.131 | K ẾT LUẬN | 0.5574</t>
        </is>
      </c>
      <c r="R64" s="6" t="inlineStr">
        <is>
          <t>gemini-3.5-flash-lite</t>
        </is>
      </c>
      <c r="S64" s="6" t="n">
        <v>22.3</v>
      </c>
      <c r="T64" s="7" t="n">
        <v>0.8571428571428571</v>
      </c>
      <c r="U64" s="7" t="n">
        <v>0.9459459459459459</v>
      </c>
      <c r="V64" s="6" t="inlineStr">
        <is>
          <t>Yes</t>
        </is>
      </c>
      <c r="W64" s="6" t="inlineStr">
        <is>
          <t>Yes</t>
        </is>
      </c>
      <c r="X64" s="6" t="inlineStr">
        <is>
          <t>PASS</t>
        </is>
      </c>
      <c r="Y64" s="6" t="inlineStr"/>
      <c r="Z64" s="6" t="inlineStr">
        <is>
          <t>PASS</t>
        </is>
      </c>
      <c r="AA64" s="6">
        <f>IF(Z64="",X64,Z64)</f>
        <v/>
      </c>
      <c r="AB64" s="6" t="n"/>
      <c r="AC64" s="6" t="inlineStr">
        <is>
          <t>[AI] Đồng ý với chấm tự động</t>
        </is>
      </c>
    </row>
    <row r="65">
      <c r="A65" s="6" t="inlineStr">
        <is>
          <t>LAW_D_004</t>
        </is>
      </c>
      <c r="B65" s="6" t="inlineStr">
        <is>
          <t>Direct Fact</t>
        </is>
      </c>
      <c r="C65" s="6" t="inlineStr">
        <is>
          <t>Chương I của cẩm nang nói về chủ đề gì?</t>
        </is>
      </c>
      <c r="D65" s="6" t="inlineStr">
        <is>
          <t>Quan hệ lao động và hợp đồng lao động.</t>
        </is>
      </c>
      <c r="E65" s="6" t="inlineStr">
        <is>
          <t>Căn cứ: phần “Chương I”, trang None. Nội dung được tài liệu xác nhận: Quan hệ lao động và hợp đồng lao động.</t>
        </is>
      </c>
      <c r="F65" s="6" t="n"/>
      <c r="G65" s="6" t="inlineStr">
        <is>
          <t>Chương I</t>
        </is>
      </c>
      <c r="H65" s="6" t="inlineStr">
        <is>
          <t>quan hệ lao động | HĐLĐ</t>
        </is>
      </c>
      <c r="I65" s="6" t="inlineStr">
        <is>
          <t>Easy</t>
        </is>
      </c>
      <c r="J65" s="6" t="inlineStr">
        <is>
          <t>Single Chunk</t>
        </is>
      </c>
      <c r="K65" s="6" t="inlineStr">
        <is>
          <t>Yes</t>
        </is>
      </c>
      <c r="L65" s="6" t="inlineStr">
        <is>
          <t>Answer from document</t>
        </is>
      </c>
      <c r="M65" s="6" t="n"/>
      <c r="N65" s="6" t="inlineStr">
        <is>
          <t>ILO-VCCI_Labour-Law-Guide-Book-V04-Final</t>
        </is>
      </c>
      <c r="O65" s="6" t="inlineStr">
        <is>
          <t>Dựa trên tài liệu được cung cấp, tôi không tìm thấy thông tin để trả lời câu hỏi này.</t>
        </is>
      </c>
      <c r="P65" s="6" t="inlineStr"/>
      <c r="Q65" s="6" t="inlineStr">
        <is>
          <t>[SOURCE_1] ILO-VCCI_Labour-Law-Guide-Book-V04-Final | tr.4 | C ẨM NANG THỰC HIỆN BỘ LUẬT LAO ĐỘNG 2019 TẠI DOANH NGHIỆP | 0.3751</t>
        </is>
      </c>
      <c r="R65" s="6" t="inlineStr">
        <is>
          <t>gemini-3.5-flash-lite</t>
        </is>
      </c>
      <c r="S65" s="6" t="n">
        <v>29.6</v>
      </c>
      <c r="T65" s="7" t="n">
        <v>0</v>
      </c>
      <c r="U65" s="7" t="n">
        <v>0</v>
      </c>
      <c r="V65" s="6" t="inlineStr">
        <is>
          <t>No</t>
        </is>
      </c>
      <c r="W65" s="6" t="inlineStr">
        <is>
          <t>n/a</t>
        </is>
      </c>
      <c r="X65" s="6" t="inlineStr">
        <is>
          <t>FAIL</t>
        </is>
      </c>
      <c r="Y65" s="6" t="inlineStr">
        <is>
          <t>Từ chối trả lời dù câu hỏi có đáp án</t>
        </is>
      </c>
      <c r="Z65" s="6" t="inlineStr">
        <is>
          <t>FAIL</t>
        </is>
      </c>
      <c r="AA65" s="6">
        <f>IF(Z65="",X65,Z65)</f>
        <v/>
      </c>
      <c r="AB65" s="6" t="inlineStr">
        <is>
          <t>DEF-02</t>
        </is>
      </c>
      <c r="AC65" s="6" t="inlineStr">
        <is>
          <t>[AI] Từ chối câu hỏi mục lục (Chương I)</t>
        </is>
      </c>
    </row>
    <row r="66">
      <c r="A66" s="6" t="inlineStr">
        <is>
          <t>LAW_D_005</t>
        </is>
      </c>
      <c r="B66" s="6" t="inlineStr">
        <is>
          <t>Direct Fact</t>
        </is>
      </c>
      <c r="C66" s="6" t="inlineStr">
        <is>
          <t>Cẩm nang có nội dung riêng về thử việc không?</t>
        </is>
      </c>
      <c r="D66" s="6" t="inlineStr">
        <is>
          <t>Có. Mục lục Chương I có phần về thử việc.</t>
        </is>
      </c>
      <c r="E66" s="6" t="inlineStr">
        <is>
          <t>Căn cứ: phần “Chương I - Thử việc”, trang 5. Nội dung được tài liệu xác nhận: Có. Mục lục Chương I có phần về thử việc.</t>
        </is>
      </c>
      <c r="F66" s="6" t="n">
        <v>5</v>
      </c>
      <c r="G66" s="6" t="inlineStr">
        <is>
          <t>Chương I - Thử việc</t>
        </is>
      </c>
      <c r="H66" s="6" t="inlineStr">
        <is>
          <t>thử việc</t>
        </is>
      </c>
      <c r="I66" s="6" t="inlineStr">
        <is>
          <t>Easy</t>
        </is>
      </c>
      <c r="J66" s="6" t="inlineStr">
        <is>
          <t>Single Chunk</t>
        </is>
      </c>
      <c r="K66" s="6" t="inlineStr">
        <is>
          <t>Yes</t>
        </is>
      </c>
      <c r="L66" s="6" t="inlineStr">
        <is>
          <t>Answer from document</t>
        </is>
      </c>
      <c r="M66" s="6" t="n"/>
      <c r="N66" s="6" t="inlineStr">
        <is>
          <t>ILO-VCCI_Labour-Law-Guide-Book-V04-Final</t>
        </is>
      </c>
      <c r="O66" s="6" t="inlineStr">
        <is>
          <t>Dựa trên tài liệu được cung cấp, cẩm nang có tập trung vào nội dung về thời gian thử việc [SOURCE_1]. Tuy nhiên, trong phần tóm tắt các nội dung chính của cẩm nang, thời gian thử việc không được liệt kê là một mục chính riêng biệt mà nằm trong các thay đổi quan trọng mà cẩm nang tập trung hướng đến [SOURCE_1].</t>
        </is>
      </c>
      <c r="P66" s="6" t="inlineStr">
        <is>
          <t>[SOURCE_1] ILO-VCCI_Labour-Law-Guide-Book-V04-Final | tr.4 | C ẨM NANG THỰC HIỆN BỘ LUẬT LAO ĐỘNG 2019 TẠI DOANH NGHIỆP | 0.9076</t>
        </is>
      </c>
      <c r="Q66" s="6" t="inlineStr">
        <is>
          <t>[SOURCE_1] ILO-VCCI_Labour-Law-Guide-Book-V04-Final | tr.4 | C ẨM NANG THỰC HIỆN BỘ LUẬT LAO ĐỘNG 2019 TẠI DOANH NGHIỆP | 0.9076
[SOURCE_2] ILO-VCCI_Labour-Law-Guide-Book-V04-Final | tr.4 | C ẨM NANG THỰC HIỆN BỘ LUẬT LAO ĐỘNG 2019 TẠI DOANH NGHIỆP | 0.4911</t>
        </is>
      </c>
      <c r="R66" s="6" t="inlineStr">
        <is>
          <t>gemini-3.5-flash-lite</t>
        </is>
      </c>
      <c r="S66" s="6" t="n">
        <v>18.4</v>
      </c>
      <c r="T66" s="7" t="n">
        <v>1</v>
      </c>
      <c r="U66" s="7" t="n">
        <v>0.6666666666666666</v>
      </c>
      <c r="V66" s="6" t="inlineStr">
        <is>
          <t>Yes</t>
        </is>
      </c>
      <c r="W66" s="6" t="inlineStr">
        <is>
          <t>Yes</t>
        </is>
      </c>
      <c r="X66" s="6" t="inlineStr">
        <is>
          <t>PASS</t>
        </is>
      </c>
      <c r="Y66" s="6" t="inlineStr"/>
      <c r="Z66" s="6" t="inlineStr">
        <is>
          <t>PARTIAL</t>
        </is>
      </c>
      <c r="AA66" s="6">
        <f>IF(Z66="",X66,Z66)</f>
        <v/>
      </c>
      <c r="AB66" s="6" t="inlineStr">
        <is>
          <t>DEF-02</t>
        </is>
      </c>
      <c r="AC66" s="6" t="inlineStr">
        <is>
          <t>[AI] Không chắc: nói có nội dung thử việc nhưng 'không phải mục riêng', trái với mục lục Chương I</t>
        </is>
      </c>
    </row>
    <row r="67">
      <c r="A67" s="6" t="inlineStr">
        <is>
          <t>LAW_D_006</t>
        </is>
      </c>
      <c r="B67" s="6" t="inlineStr">
        <is>
          <t>Direct Fact</t>
        </is>
      </c>
      <c r="C67" s="6" t="inlineStr">
        <is>
          <t>Cẩm nang có chương riêng về xử lý kỷ luật lao động không?</t>
        </is>
      </c>
      <c r="D67" s="6" t="inlineStr">
        <is>
          <t>Có. Chương III là Xử lý kỷ luật lao động.</t>
        </is>
      </c>
      <c r="E67" s="6" t="inlineStr">
        <is>
          <t>Căn cứ: phần “Chương III”, trang 7. Nội dung được tài liệu xác nhận: Có. Chương III là Xử lý kỷ luật lao động.</t>
        </is>
      </c>
      <c r="F67" s="6" t="n">
        <v>7</v>
      </c>
      <c r="G67" s="6" t="inlineStr">
        <is>
          <t>Chương III</t>
        </is>
      </c>
      <c r="H67" s="6" t="inlineStr">
        <is>
          <t>kỷ luật lao động</t>
        </is>
      </c>
      <c r="I67" s="6" t="inlineStr">
        <is>
          <t>Easy</t>
        </is>
      </c>
      <c r="J67" s="6" t="inlineStr">
        <is>
          <t>Single Chunk</t>
        </is>
      </c>
      <c r="K67" s="6" t="inlineStr">
        <is>
          <t>Yes</t>
        </is>
      </c>
      <c r="L67" s="6" t="inlineStr">
        <is>
          <t>Answer from document</t>
        </is>
      </c>
      <c r="M67" s="6" t="n"/>
      <c r="N67" s="6" t="inlineStr">
        <is>
          <t>ILO-VCCI_Labour-Law-Guide-Book-V04-Final</t>
        </is>
      </c>
      <c r="O67" s="6" t="inlineStr">
        <is>
          <t>Có, cẩm nang có chương riêng về xử lý kỷ luật lao động, đó là **CHƯƠNG III. XỬ LÝ KỶ LUẬT LAO ĐỘNG** [SOURCE_1].</t>
        </is>
      </c>
      <c r="P67" s="6" t="inlineStr">
        <is>
          <t>[SOURCE_1] ILO-VCCI_Labour-Law-Guide-Book-V04-Final | tr.7 | C ẨM NANG THỰC HIỆN BỘ LUẬT LAO ĐỘNG 2019 TẠI DOANH NGHIỆP | 0.9711</t>
        </is>
      </c>
      <c r="Q67" s="6" t="inlineStr">
        <is>
          <t>[SOURCE_1] ILO-VCCI_Labour-Law-Guide-Book-V04-Final | tr.7 | C ẨM NANG THỰC HIỆN BỘ LUẬT LAO ĐỘNG 2019 TẠI DOANH NGHIỆP | 0.9711
[SOURCE_2] ILO-VCCI_Labour-Law-Guide-Book-V04-Final | tr.7 | C ẨM NANG THỰC HIỆN BỘ LUẬT LAO ĐỘNG 2019 TẠI DOANH NGHIỆP | 0.9607
[SOURCE_3] ILO-VCCI_Labour-Law-Guide-Book-V04-Final | tr.4 | C ẨM NANG THỰC HIỆN BỘ LUẬT LAO ĐỘNG 2019 TẠI DOANH NGHIỆP | 0.9178
[SOURCE_4] ILO-VCCI_Labour-Law-Guide-Book-V04-Final | tr.131 | K ẾT LUẬN | 0.8626</t>
        </is>
      </c>
      <c r="R67" s="6" t="inlineStr">
        <is>
          <t>gemini-3.5-flash-lite</t>
        </is>
      </c>
      <c r="S67" s="6" t="n">
        <v>23.4</v>
      </c>
      <c r="T67" s="7" t="n">
        <v>1</v>
      </c>
      <c r="U67" s="7" t="n">
        <v>1</v>
      </c>
      <c r="V67" s="6" t="inlineStr">
        <is>
          <t>Yes</t>
        </is>
      </c>
      <c r="W67" s="6" t="inlineStr">
        <is>
          <t>Yes</t>
        </is>
      </c>
      <c r="X67" s="6" t="inlineStr">
        <is>
          <t>PASS</t>
        </is>
      </c>
      <c r="Y67" s="6" t="inlineStr"/>
      <c r="Z67" s="6" t="inlineStr">
        <is>
          <t>PASS</t>
        </is>
      </c>
      <c r="AA67" s="6">
        <f>IF(Z67="",X67,Z67)</f>
        <v/>
      </c>
      <c r="AB67" s="6" t="n"/>
      <c r="AC67" s="6" t="inlineStr">
        <is>
          <t>[AI] Đồng ý với chấm tự động</t>
        </is>
      </c>
    </row>
    <row r="68">
      <c r="A68" s="6" t="inlineStr">
        <is>
          <t>LAW_D_007</t>
        </is>
      </c>
      <c r="B68" s="6" t="inlineStr">
        <is>
          <t>Direct Fact</t>
        </is>
      </c>
      <c r="C68" s="6" t="inlineStr">
        <is>
          <t>Cẩm nang có nội dung về tiền lương làm thêm giờ và làm việc ban đêm không?</t>
        </is>
      </c>
      <c r="D68" s="6" t="inlineStr">
        <is>
          <t>Có. Mục lục có mục riêng “Tiền lương làm thêm giờ, làm việc vào ban đêm”.</t>
        </is>
      </c>
      <c r="E68" s="6" t="inlineStr">
        <is>
          <t>Căn cứ: phần “Chương tiền lương”, trang 8. Nội dung được tài liệu xác nhận: Có. Mục lục có mục riêng “Tiền lương làm thêm giờ, làm việc vào ban đêm”.</t>
        </is>
      </c>
      <c r="F68" s="6" t="n">
        <v>8</v>
      </c>
      <c r="G68" s="6" t="inlineStr">
        <is>
          <t>Chương tiền lương</t>
        </is>
      </c>
      <c r="H68" s="6" t="inlineStr">
        <is>
          <t>làm thêm giờ | ban đêm | tiền lương</t>
        </is>
      </c>
      <c r="I68" s="6" t="inlineStr">
        <is>
          <t>Easy</t>
        </is>
      </c>
      <c r="J68" s="6" t="inlineStr">
        <is>
          <t>Single Chunk</t>
        </is>
      </c>
      <c r="K68" s="6" t="inlineStr">
        <is>
          <t>Yes</t>
        </is>
      </c>
      <c r="L68" s="6" t="inlineStr">
        <is>
          <t>Answer from document</t>
        </is>
      </c>
      <c r="M68" s="6" t="n"/>
      <c r="N68" s="6" t="inlineStr">
        <is>
          <t>ILO-VCCI_Labour-Law-Guide-Book-V04-Final</t>
        </is>
      </c>
      <c r="O68" s="6" t="inlineStr">
        <is>
          <t>Có, cẩm nang có nội dung về tiền lương làm thêm giờ và làm việc vào ban đêm [SOURCE_2, SOURCE_3, SOURCE_5]. Nội dung này được trình bày chi tiết bao gồm tiền lương làm thêm giờ, tiền lương làm việc vào ban đêm, và tiền lương làm thêm giờ vào ban đêm [SOURCE_2, SOURCE_5].</t>
        </is>
      </c>
      <c r="P68" s="6" t="inlineStr"/>
      <c r="Q68" s="6" t="inlineStr">
        <is>
          <t>[SOURCE_1] ILO-VCCI_Labour-Law-Guide-Book-V04-Final | tr.4 | C ẨM NANG THỰC HIỆN BỘ LUẬT LAO ĐỘNG 2019 TẠI DOANH NGHIỆP | 0.9897
[SOURCE_2] ILO-VCCI_Labour-Law-Guide-Book-V04-Final | tr.8 | C ẨM NANG THỰC HIỆN BỘ LUẬT LAO ĐỘNG 2019 TẠI DOANH NGHIỆP | 0.9803
[SOURCE_3] ILO-VCCI_Labour-Law-Guide-Book-V04-Final | tr.4 | C ẨM NANG THỰC HIỆN BỘ LUẬT LAO ĐỘNG 2019 TẠI DOANH NGHIỆP | 0.9699
[SOURCE_4] Văn-bản-hợp-nhất-18-VBHN-VPQH | tr.38 | Điều 98. Tiền lương làm thêm giờ, làm việc vào ban đêm | 0.9034
[SOURCE_5] ILO-VCCI_Labour-Law-Guide-Book-V04-Final | tr.99 | IV. TIỀN LƯƠNG LÀM THÊM GIỜ, LÀM VIỆC VÀO BAN ĐÊM | 0.88</t>
        </is>
      </c>
      <c r="R68" s="6" t="inlineStr">
        <is>
          <t>gemini-3.5-flash-lite</t>
        </is>
      </c>
      <c r="S68" s="6" t="n">
        <v>19.4</v>
      </c>
      <c r="T68" s="7" t="n">
        <v>1</v>
      </c>
      <c r="U68" s="7" t="n">
        <v>0.7142857142857143</v>
      </c>
      <c r="V68" s="6" t="inlineStr">
        <is>
          <t>No</t>
        </is>
      </c>
      <c r="W68" s="6" t="inlineStr">
        <is>
          <t>No</t>
        </is>
      </c>
      <c r="X68" s="6" t="inlineStr">
        <is>
          <t>PARTIAL</t>
        </is>
      </c>
      <c r="Y68" s="6" t="inlineStr">
        <is>
          <t>Không trích tài liệu mong đợi (có trong ngữ cảnh); Không trích đúng trang 8 (±1)</t>
        </is>
      </c>
      <c r="Z68" s="6" t="inlineStr">
        <is>
          <t>PARTIAL</t>
        </is>
      </c>
      <c r="AA68" s="6">
        <f>IF(Z68="",X68,Z68)</f>
        <v/>
      </c>
      <c r="AB68" s="6" t="inlineStr">
        <is>
          <t>DEF-01</t>
        </is>
      </c>
      <c r="AC68" s="6" t="inlineStr">
        <is>
          <t>[AI] Nội dung đúng nhưng mất toàn bộ trích dẫn (thẻ gộp)</t>
        </is>
      </c>
    </row>
    <row r="69">
      <c r="A69" s="6" t="inlineStr">
        <is>
          <t>LAW_D_008</t>
        </is>
      </c>
      <c r="B69" s="6" t="inlineStr">
        <is>
          <t>Concept</t>
        </is>
      </c>
      <c r="C69" s="6" t="inlineStr">
        <is>
          <t>Cẩm nang tiếp cận các thay đổi của BLLĐ 2019 theo cách nào?</t>
        </is>
      </c>
      <c r="D69" s="6" t="inlineStr">
        <is>
          <t>Làm rõ khác biệt giữa BLLĐ 2012 và 2019 cùng văn bản liên quan, sau đó đưa ra giải pháp/kiến nghị để doanh nghiệp điều chỉnh và tuân thủ.</t>
        </is>
      </c>
      <c r="E69" s="6" t="inlineStr">
        <is>
          <t>Căn cứ: phần “Lời nói đầu”, trang 4. Nội dung được tài liệu xác nhận: Làm rõ khác biệt giữa BLLĐ 2012 và 2019 cùng văn bản liên quan, sau đó đưa ra giải pháp/kiến nghị để doanh nghiệp điều chỉnh và tuân thủ.</t>
        </is>
      </c>
      <c r="F69" s="6" t="n">
        <v>4</v>
      </c>
      <c r="G69" s="6" t="inlineStr">
        <is>
          <t>Lời nói đầu</t>
        </is>
      </c>
      <c r="H69" s="6" t="inlineStr">
        <is>
          <t>so sánh 2012-2019 | giải pháp | doanh nghiệp</t>
        </is>
      </c>
      <c r="I69" s="6" t="inlineStr">
        <is>
          <t>Medium</t>
        </is>
      </c>
      <c r="J69" s="6" t="inlineStr">
        <is>
          <t>Single Chunk</t>
        </is>
      </c>
      <c r="K69" s="6" t="inlineStr">
        <is>
          <t>Yes</t>
        </is>
      </c>
      <c r="L69" s="6" t="inlineStr">
        <is>
          <t>Answer from document</t>
        </is>
      </c>
      <c r="M69" s="6" t="n"/>
      <c r="N69" s="6" t="inlineStr">
        <is>
          <t>ILO-VCCI_Labour-Law-Guide-Book-V04-Final</t>
        </is>
      </c>
      <c r="O69" s="6" t="inlineStr">
        <is>
          <t>Cẩm nang tiếp cận các thay đổi của Bộ luật Lao động 2019 (BLLĐ 2019) thông qua việc làm rõ sự khác biệt giữa các quy định của BLLĐ 2012 và BLLĐ 2019 cùng với các văn bản pháp luật mới có liên quan điều chỉnh quan hệ lao động [SOURCE_1]. Từ đó, cẩm nang đưa ra các giải pháp và kiến nghị đối với doanh nghiệp trong việc cải cách những thay đổi đó [SOURCE_1].</t>
        </is>
      </c>
      <c r="P69" s="6" t="inlineStr">
        <is>
          <t>[SOURCE_1] ILO-VCCI_Labour-Law-Guide-Book-V04-Final | tr.4 | C ẨM NANG THỰC HIỆN BỘ LUẬT LAO ĐỘNG 2019 TẠI DOANH NGHIỆP | 0.9978</t>
        </is>
      </c>
      <c r="Q69" s="6" t="inlineStr">
        <is>
          <t>[SOURCE_1] ILO-VCCI_Labour-Law-Guide-Book-V04-Final | tr.4 | C ẨM NANG THỰC HIỆN BỘ LUẬT LAO ĐỘNG 2019 TẠI DOANH NGHIỆP | 0.9978
[SOURCE_2] ILO-VCCI_Labour-Law-Guide-Book-V04-Final | tr.131 | K ẾT LUẬN | 0.9893
[SOURCE_3] ILO-VCCI_Labour-Law-Guide-Book-V04-Final | tr.3 | Vai trò và mục tiêu của Cẩm nang Thực hiện BLLĐ 2019 đối với | 0.9866
[SOURCE_4] ILO-VCCI_Labour-Law-Guide-Book-V04-Final | tr.83 | IV. QUY ĐỊNH VỀ THƯƠNG LƯỢNG TẬP THỂ CÓ NHIỀU DOANH NGHIỆP &gt; | 0.9473
[SOURCE_5] ILO-VCCI_Labour-Law-Guide-Book-V04-Final | tr.4 | C ẨM NANG THỰC HIỆN BỘ LUẬT LAO ĐỘNG 2019 TẠI DOANH NGHIỆP | 0.9429</t>
        </is>
      </c>
      <c r="R69" s="6" t="inlineStr">
        <is>
          <t>gemini-3.5-flash-lite</t>
        </is>
      </c>
      <c r="S69" s="6" t="n">
        <v>14</v>
      </c>
      <c r="T69" s="7" t="n">
        <v>0.6666666666666666</v>
      </c>
      <c r="U69" s="7" t="n">
        <v>0.8928571428571429</v>
      </c>
      <c r="V69" s="6" t="inlineStr">
        <is>
          <t>Yes</t>
        </is>
      </c>
      <c r="W69" s="6" t="inlineStr">
        <is>
          <t>Yes</t>
        </is>
      </c>
      <c r="X69" s="6" t="inlineStr">
        <is>
          <t>PARTIAL</t>
        </is>
      </c>
      <c r="Y69" s="6" t="inlineStr">
        <is>
          <t>Thiếu từ khóa (67%)</t>
        </is>
      </c>
      <c r="Z69" s="6" t="inlineStr">
        <is>
          <t>PASS</t>
        </is>
      </c>
      <c r="AA69" s="6">
        <f>IF(Z69="",X69,Z69)</f>
        <v/>
      </c>
      <c r="AB69" s="6" t="n"/>
      <c r="AC69" s="6" t="inlineStr">
        <is>
          <t>[AI] Đúng ý; scorer chấm thiếu từ khóa oan</t>
        </is>
      </c>
    </row>
    <row r="70">
      <c r="A70" s="6" t="inlineStr">
        <is>
          <t>LAW_D_009</t>
        </is>
      </c>
      <c r="B70" s="6" t="inlineStr">
        <is>
          <t>Navigation</t>
        </is>
      </c>
      <c r="C70" s="6" t="inlineStr">
        <is>
          <t>Muốn tìm dấu hiệu nhận biết quan hệ lao động, cần truy xuất phần nào?</t>
        </is>
      </c>
      <c r="D70" s="6" t="inlineStr">
        <is>
          <t>Chương I, mục I - Quan hệ lao động, phần “Dấu hiệu nhận biết quan hệ lao động”.</t>
        </is>
      </c>
      <c r="E70" s="6" t="inlineStr">
        <is>
          <t>Căn cứ: phần “Chương I - Quan hệ lao động”, trang 5. Nội dung được tài liệu xác nhận: Chương I, mục I - Quan hệ lao động, phần “Dấu hiệu nhận biết quan hệ lao động”.</t>
        </is>
      </c>
      <c r="F70" s="6" t="n">
        <v>5</v>
      </c>
      <c r="G70" s="6" t="inlineStr">
        <is>
          <t>Chương I - Quan hệ lao động</t>
        </is>
      </c>
      <c r="H70" s="6" t="inlineStr">
        <is>
          <t>dấu hiệu | quan hệ lao động</t>
        </is>
      </c>
      <c r="I70" s="6" t="inlineStr">
        <is>
          <t>Medium</t>
        </is>
      </c>
      <c r="J70" s="6" t="inlineStr">
        <is>
          <t>Single Chunk</t>
        </is>
      </c>
      <c r="K70" s="6" t="inlineStr">
        <is>
          <t>Yes</t>
        </is>
      </c>
      <c r="L70" s="6" t="inlineStr">
        <is>
          <t>Answer from document</t>
        </is>
      </c>
      <c r="M70" s="6" t="n"/>
      <c r="N70" s="6" t="inlineStr">
        <is>
          <t>ILO-VCCI_Labour-Law-Guide-Book-V04-Final</t>
        </is>
      </c>
      <c r="O70" s="6" t="inlineStr">
        <is>
          <t>Dựa trên tài liệu được cung cấp, để tìm dấu hiệu nhận biết quan hệ lao động, bạn cần truy xuất phần **"2. Dấu hiệu nhận biết quan hệ lao động"** (nằm ở trang 10 của tài liệu) [SOURCE_1], [SOURCE_2].</t>
        </is>
      </c>
      <c r="P70" s="6" t="inlineStr">
        <is>
          <t>[SOURCE_1] ILO-VCCI_Labour-Law-Guide-Book-V04-Final | tr.10 | 2. Dấu hiệu nhận biết quan hệ lao động | 0.629
[SOURCE_2] ILO-VCCI_Labour-Law-Guide-Book-V04-Final | tr.5 | MỤC LỤC | 0.4961</t>
        </is>
      </c>
      <c r="Q70" s="6" t="inlineStr">
        <is>
          <t>[SOURCE_1] ILO-VCCI_Labour-Law-Guide-Book-V04-Final | tr.10 | 2. Dấu hiệu nhận biết quan hệ lao động | 0.629
[SOURCE_2] ILO-VCCI_Labour-Law-Guide-Book-V04-Final | tr.5 | MỤC LỤC | 0.4961
[SOURCE_3] ILO-VCCI_Labour-Law-Guide-Book-V04-Final | tr.10 | 2. Dấu hiệu nhận biết quan hệ lao động | 0.455</t>
        </is>
      </c>
      <c r="R70" s="6" t="inlineStr">
        <is>
          <t>gemini-3.5-flash-lite</t>
        </is>
      </c>
      <c r="S70" s="6" t="n">
        <v>21.3</v>
      </c>
      <c r="T70" s="7" t="n">
        <v>1</v>
      </c>
      <c r="U70" s="7" t="n">
        <v>0.8666666666666667</v>
      </c>
      <c r="V70" s="6" t="inlineStr">
        <is>
          <t>Yes</t>
        </is>
      </c>
      <c r="W70" s="6" t="inlineStr">
        <is>
          <t>Yes</t>
        </is>
      </c>
      <c r="X70" s="6" t="inlineStr">
        <is>
          <t>PASS</t>
        </is>
      </c>
      <c r="Y70" s="6" t="inlineStr"/>
      <c r="Z70" s="6" t="inlineStr">
        <is>
          <t>PASS</t>
        </is>
      </c>
      <c r="AA70" s="6">
        <f>IF(Z70="",X70,Z70)</f>
        <v/>
      </c>
      <c r="AB70" s="6" t="n"/>
      <c r="AC70" s="6" t="inlineStr">
        <is>
          <t>[AI] Đồng ý với chấm tự động</t>
        </is>
      </c>
    </row>
    <row r="71">
      <c r="A71" s="6" t="inlineStr">
        <is>
          <t>LAW_D_010</t>
        </is>
      </c>
      <c r="B71" s="6" t="inlineStr">
        <is>
          <t>Navigation</t>
        </is>
      </c>
      <c r="C71" s="6" t="inlineStr">
        <is>
          <t>Muốn tìm thay đổi về quyền NLĐ đơn phương chấm dứt HĐLĐ, cần truy xuất phần nào?</t>
        </is>
      </c>
      <c r="D71" s="6" t="inlineStr">
        <is>
          <t>Chương về chấm dứt HĐLĐ, mục nêu “Những điểm mới liên quan đến việc NLĐ đơn phương chấm dứt HĐLĐ”.</t>
        </is>
      </c>
      <c r="E71" s="6" t="inlineStr">
        <is>
          <t>Căn cứ: phần “Chấm dứt HĐLĐ”, trang 6. Nội dung được tài liệu xác nhận: Chương về chấm dứt HĐLĐ, mục nêu “Những điểm mới liên quan đến việc NLĐ đơn phương chấm dứt HĐLĐ”.</t>
        </is>
      </c>
      <c r="F71" s="6" t="n">
        <v>6</v>
      </c>
      <c r="G71" s="6" t="inlineStr">
        <is>
          <t>Chấm dứt HĐLĐ</t>
        </is>
      </c>
      <c r="H71" s="6" t="inlineStr">
        <is>
          <t>NLĐ | đơn phương chấm dứt | điểm mới</t>
        </is>
      </c>
      <c r="I71" s="6" t="inlineStr">
        <is>
          <t>Medium</t>
        </is>
      </c>
      <c r="J71" s="6" t="inlineStr">
        <is>
          <t>Single Chunk</t>
        </is>
      </c>
      <c r="K71" s="6" t="inlineStr">
        <is>
          <t>Yes</t>
        </is>
      </c>
      <c r="L71" s="6" t="inlineStr">
        <is>
          <t>Answer from document</t>
        </is>
      </c>
      <c r="M71" s="6" t="n"/>
      <c r="N71" s="6" t="inlineStr">
        <is>
          <t>ILO-VCCI_Labour-Law-Guide-Book-V04-Final</t>
        </is>
      </c>
      <c r="O71" s="6" t="inlineStr">
        <is>
          <t>Dựa trên tài liệu được cung cấp, để tìm hiểu về những điểm mới liên quan đến quyền của người lao động (NLĐ) đơn phương chấm dứt hợp đồng lao động (HĐLĐ), bạn cần truy xuất phần **"3. Những điểm mới liên quan đến việc NLĐ đơn phương chấm dứt HĐLĐ"** [SOURCE_1, SOURCE_2]. 
Phần này nằm ở trang 32 của tài liệu *ILO-VCCI_Labour-Law-Guide-Book-V04-Final.pdf* [SOURCE_1, SOURCE_2].</t>
        </is>
      </c>
      <c r="P71" s="6" t="inlineStr"/>
      <c r="Q71" s="6" t="inlineStr">
        <is>
          <t>[SOURCE_1] ILO-VCCI_Labour-Law-Guide-Book-V04-Final | tr.32 | 3. Những điểm mới liên quan đến việc NLĐ đơn phương chấm dứt | 0.9129
[SOURCE_2] ILO-VCCI_Labour-Law-Guide-Book-V04-Final | tr.32 | 3. Những điểm mới liên quan đến việc NLĐ đơn phương chấm dứt | 0.9015
[SOURCE_3] luu-ban-nhap-tu-dong-3-4 | tr.419 | Mục 3: SỬA ĐỔI, BỔ SUNG, CHẤM DỨT HỢP ĐỒNG LAO ĐỘNG &gt; Điều 1 | 0.798
[SOURCE_4] ILO-VCCI_Labour-Law-Guide-Book-V04-Final | tr.46 | 1. NSDLĐ đơn phương chấm dứt HĐLĐ trái pháp luật &gt; (a) Trách | 0.6872
[SOURCE_5] ILO-VCCI_Labour-Law-Guide-Book-V04-Final | tr.124 | (b) Trường hợp 2: Các bên tiếp tục thực hiện HĐLĐ đã giao kế | 0.6683</t>
        </is>
      </c>
      <c r="R71" s="6" t="inlineStr">
        <is>
          <t>gemini-3.5-flash-lite</t>
        </is>
      </c>
      <c r="S71" s="6" t="n">
        <v>19.5</v>
      </c>
      <c r="T71" s="7" t="n">
        <v>1</v>
      </c>
      <c r="U71" s="7" t="n">
        <v>0.88</v>
      </c>
      <c r="V71" s="6" t="inlineStr">
        <is>
          <t>No</t>
        </is>
      </c>
      <c r="W71" s="6" t="inlineStr">
        <is>
          <t>No</t>
        </is>
      </c>
      <c r="X71" s="6" t="inlineStr">
        <is>
          <t>PARTIAL</t>
        </is>
      </c>
      <c r="Y71" s="6" t="inlineStr">
        <is>
          <t>Không trích tài liệu mong đợi (có trong ngữ cảnh); Không trích đúng trang 6 (±1)</t>
        </is>
      </c>
      <c r="Z71" s="6" t="inlineStr">
        <is>
          <t>PARTIAL</t>
        </is>
      </c>
      <c r="AA71" s="6">
        <f>IF(Z71="",X71,Z71)</f>
        <v/>
      </c>
      <c r="AB71" s="6" t="inlineStr">
        <is>
          <t>DEF-01</t>
        </is>
      </c>
      <c r="AC71" s="6" t="inlineStr">
        <is>
          <t>[AI] Chỉ đúng mục 'Những điểm mới...' nhưng mất toàn bộ trích dẫn (thẻ gộp)</t>
        </is>
      </c>
    </row>
    <row r="72">
      <c r="A72" s="6" t="inlineStr">
        <is>
          <t>LAW_D_011</t>
        </is>
      </c>
      <c r="B72" s="6" t="inlineStr">
        <is>
          <t>Navigation</t>
        </is>
      </c>
      <c r="C72" s="6" t="inlineStr">
        <is>
          <t>Câu hỏi doanh nghiệp cho thôi việc do thay đổi cơ cấu, công nghệ hoặc lý do kinh tế cần truy xuất phần nào?</t>
        </is>
      </c>
      <c r="D72" s="6" t="inlineStr">
        <is>
          <t>Phần III về chấm dứt HĐLĐ do thay đổi cơ cấu, công nghệ hoặc vì lý do kinh tế, gồm căn cứ và quy trình cho thôi việc.</t>
        </is>
      </c>
      <c r="E72" s="6" t="inlineStr">
        <is>
          <t>Căn cứ: phần “Chấm dứt HĐLĐ”, trang 6. Nội dung được tài liệu xác nhận: Phần III về chấm dứt HĐLĐ do thay đổi cơ cấu, công nghệ hoặc vì lý do kinh tế, gồm căn cứ và quy trình cho thôi việc.</t>
        </is>
      </c>
      <c r="F72" s="6" t="n">
        <v>6</v>
      </c>
      <c r="G72" s="6" t="inlineStr">
        <is>
          <t>Chấm dứt HĐLĐ</t>
        </is>
      </c>
      <c r="H72" s="6" t="inlineStr">
        <is>
          <t>cơ cấu | công nghệ | lý do kinh tế | cho thôi việc</t>
        </is>
      </c>
      <c r="I72" s="6" t="inlineStr">
        <is>
          <t>Medium</t>
        </is>
      </c>
      <c r="J72" s="6" t="inlineStr">
        <is>
          <t>Single Chunk</t>
        </is>
      </c>
      <c r="K72" s="6" t="inlineStr">
        <is>
          <t>Yes</t>
        </is>
      </c>
      <c r="L72" s="6" t="inlineStr">
        <is>
          <t>Answer from document</t>
        </is>
      </c>
      <c r="M72" s="6" t="n"/>
      <c r="N72" s="6" t="inlineStr">
        <is>
          <t>ILO-VCCI_Labour-Law-Guide-Book-V04-Final</t>
        </is>
      </c>
      <c r="O72" s="6" t="inlineStr">
        <is>
          <t>Dựa trên tài liệu được cung cấp, khi người sử dụng lao động cho người lao động thôi việc do thay đổi cơ cấu, công nghệ hoặc vì lý do kinh tế, quy trình thủ tục pháp lý cần tuân thủ bao gồm các bước sau [SOURCE_1]:
* **Bước 1:** Người sử dụng lao động lập danh sách những người lao động sẽ được đào tạo lại để tiếp tục sử dụng [SOURCE_1].
* **Bước 2:** Người sử dụng lao động xây dựng Phương án sử dụng lao động (PASDLĐ) với sự tham gia trao đổi của Tổ chức đại diện người lao động tại cơ sở (TCĐDNLĐCS) đối với nơi có tổ chức này [SOURCE_1].
* **Bước 3:** Người sử dụng lao động tổ chức đối thoại tại nơi làm việc để trao đổi về việc xây dựng PASDLĐ và công bố công khai tại nơi làm việc những nội dung chính của đối thoại trong vòng 03 ngày làm việc kể từ khi kết thúc đối thoại [SOURCE_1].
* **Bước 5:** Người sử dụng lao động thông báo công khai PASDLĐ cho người lao động biết trong thời hạn 15 ngày kể từ ngày PASDLĐ được thông qua [SOURCE_1].
Bên cạnh đó, trong quá trình xây dựng và thực hiện PASDLĐ, người sử dụng lao động cần giải trình thuyết phục các lý do thay đổi cơ cấu, công nghệ, lý do kinh tế và lý do cho thôi việc [SOURCE_2], đồng thời thực hiện việc thông báo bằng văn bản cho cơ quan quản lý nhà nước về lao động cấp tỉnh với các nội dung chủ yếu theo quy định [SOURCE_3, SOURCE_4].</t>
        </is>
      </c>
      <c r="P72" s="6" t="inlineStr">
        <is>
          <t>[SOURCE_1] ILO-VCCI_Labour-Law-Guide-Book-V04-Final | tr.34 | 2. Quy trình cho thôi việc | 0.9012
[SOURCE_2] ILO-VCCI_Labour-Law-Guide-Book-V04-Final | tr.39 | (b) Việc xây dựng và thực hiện PASDLĐ | 0.893</t>
        </is>
      </c>
      <c r="Q72" s="6" t="inlineStr">
        <is>
          <t>[SOURCE_1] ILO-VCCI_Labour-Law-Guide-Book-V04-Final | tr.34 | 2. Quy trình cho thôi việc | 0.9012
[SOURCE_2] ILO-VCCI_Labour-Law-Guide-Book-V04-Final | tr.39 | (b) Việc xây dựng và thực hiện PASDLĐ | 0.893
[SOURCE_3] luu-ban-nhap-tu-dong-3-4 | tr.419 | Điều 13. Thay đổi cơ cấu, công nghệ và lý do kinh tế | 0.8908
[SOURCE_4] luu-ban-nhap-tu-dong-3-4 | tr.420 | Điều 13. Thay đổi cơ cấu, công nghệ và lý do kinh tế | 0.8908
[SOURCE_5] ILO-VCCI_Labour-Law-Guide-Book-V04-Final | tr.68 | (ii) NSDLĐ cho thôi việc trong trường hợp thay đổi cơ cấu, c | 0.8432</t>
        </is>
      </c>
      <c r="R72" s="6" t="inlineStr">
        <is>
          <t>gemini-3.5-flash-lite</t>
        </is>
      </c>
      <c r="S72" s="6" t="n">
        <v>16.8</v>
      </c>
      <c r="T72" s="7" t="n">
        <v>1</v>
      </c>
      <c r="U72" s="7" t="n">
        <v>0.7307692307692307</v>
      </c>
      <c r="V72" s="6" t="inlineStr">
        <is>
          <t>Yes</t>
        </is>
      </c>
      <c r="W72" s="6" t="inlineStr">
        <is>
          <t>No</t>
        </is>
      </c>
      <c r="X72" s="6" t="inlineStr">
        <is>
          <t>PASS</t>
        </is>
      </c>
      <c r="Y72" s="6" t="inlineStr">
        <is>
          <t>Không trích đúng trang 6 (±1)</t>
        </is>
      </c>
      <c r="Z72" s="6" t="inlineStr">
        <is>
          <t>PARTIAL</t>
        </is>
      </c>
      <c r="AA72" s="6">
        <f>IF(Z72="",X72,Z72)</f>
        <v/>
      </c>
      <c r="AB72" s="6" t="inlineStr">
        <is>
          <t>DEF-02</t>
        </is>
      </c>
      <c r="AC72" s="6" t="inlineStr">
        <is>
          <t>[AI] PASS oan của scorer: trả lời quy trình thay vì chỉ ra phần cần truy xuất</t>
        </is>
      </c>
    </row>
    <row r="73">
      <c r="A73" s="6" t="inlineStr">
        <is>
          <t>LAW_D_012</t>
        </is>
      </c>
      <c r="B73" s="6" t="inlineStr">
        <is>
          <t>Navigation</t>
        </is>
      </c>
      <c r="C73" s="6" t="inlineStr">
        <is>
          <t>Muốn tra các hình thức xử lý kỷ luật lao động, cần vào phần nào?</t>
        </is>
      </c>
      <c r="D73" s="6" t="inlineStr">
        <is>
          <t>Chương III - Xử lý kỷ luật lao động, mục II “Các hình thức xử lý kỷ luật lao động”.</t>
        </is>
      </c>
      <c r="E73" s="6" t="inlineStr">
        <is>
          <t>Căn cứ: phần “Chương III”, trang 7. Nội dung được tài liệu xác nhận: Chương III - Xử lý kỷ luật lao động, mục II “Các hình thức xử lý kỷ luật lao động”.</t>
        </is>
      </c>
      <c r="F73" s="6" t="n">
        <v>7</v>
      </c>
      <c r="G73" s="6" t="inlineStr">
        <is>
          <t>Chương III</t>
        </is>
      </c>
      <c r="H73" s="6" t="inlineStr">
        <is>
          <t>hình thức | kỷ luật lao động</t>
        </is>
      </c>
      <c r="I73" s="6" t="inlineStr">
        <is>
          <t>Medium</t>
        </is>
      </c>
      <c r="J73" s="6" t="inlineStr">
        <is>
          <t>Single Chunk</t>
        </is>
      </c>
      <c r="K73" s="6" t="inlineStr">
        <is>
          <t>Yes</t>
        </is>
      </c>
      <c r="L73" s="6" t="inlineStr">
        <is>
          <t>Answer from document</t>
        </is>
      </c>
      <c r="M73" s="6" t="n"/>
      <c r="N73" s="6" t="inlineStr">
        <is>
          <t>ILO-VCCI_Labour-Law-Guide-Book-V04-Final</t>
        </is>
      </c>
      <c r="O73" s="6" t="inlineStr">
        <is>
          <t>Dựa trên tài liệu được cung cấp, để tra cứu các hình thức xử lý kỷ luật lao động, bạn có thể tìm đến các phần sau:
* Mục **"II. CÁC HÌNH THỨC XỬ LÝ KỶ LUẬT LAO ĐỘNG"** [SOURCE_2].
* Phần **"2. Các hình thức xử lý kỷ luật lao động:"** [SOURCE_4].
* **"Điều 124. Hình thức xử lý kỷ luật lao động"** [SOURCE_5].
* Mục **"Các hành vi vi phạm kỷ luật lao động, hình thức xử lý kỷ luật lao động và trách nhiệm vật chất"** trong nội dung của nội quy lao động (Chương V, Mục 1, Điều 27) [SOURCE_3].</t>
        </is>
      </c>
      <c r="P73" s="6" t="inlineStr">
        <is>
          <t>[SOURCE_2] ILO-VCCI_Labour-Law-Guide-Book-V04-Final | tr.53 | II. CÁC HÌNH THỨC XỬ LÝ KỶ LUẬT LAO ĐỘNG | 0.872
[SOURCE_3] luu-ban-nhap-tu-dong-3-4 | tr.426 | Chương V &gt; KỶ LUẬT LAO ĐỘNG, TRÁCH NHIỆM VẬT CHẤT Mục 1: KỶ  | 0.7889
[SOURCE_4] giao trinh Luat lao dong CB 2005 (1) | tr.91 | 2. Các hình thức xử lý kỷ luật lao động: | 0.6221
[SOURCE_5] luu-ban-nhap-tu-dong-3-4 | tr.40 | Điều 124. Hình thức xử lý kỷ luật lao động | 0.5988</t>
        </is>
      </c>
      <c r="Q73" s="6" t="inlineStr">
        <is>
          <t>[SOURCE_1] giao trinh Luat lao dong CB 2005 (1) | tr.92 | (3) Sa thải: | 0.8993
[SOURCE_2] ILO-VCCI_Labour-Law-Guide-Book-V04-Final | tr.53 | II. CÁC HÌNH THỨC XỬ LÝ KỶ LUẬT LAO ĐỘNG | 0.872
[SOURCE_3] luu-ban-nhap-tu-dong-3-4 | tr.426 | Chương V &gt; KỶ LUẬT LAO ĐỘNG, TRÁCH NHIỆM VẬT CHẤT Mục 1: KỶ  | 0.7889
[SOURCE_4] giao trinh Luat lao dong CB 2005 (1) | tr.91 | 2. Các hình thức xử lý kỷ luật lao động: | 0.6221
[SOURCE_5] luu-ban-nhap-tu-dong-3-4 | tr.40 | Điều 124. Hình thức xử lý kỷ luật lao động | 0.5988</t>
        </is>
      </c>
      <c r="R73" s="6" t="inlineStr">
        <is>
          <t>gemini-3.5-flash-lite</t>
        </is>
      </c>
      <c r="S73" s="6" t="n">
        <v>19.7</v>
      </c>
      <c r="T73" s="7" t="n">
        <v>1</v>
      </c>
      <c r="U73" s="7" t="n">
        <v>0.9444444444444444</v>
      </c>
      <c r="V73" s="6" t="inlineStr">
        <is>
          <t>Yes</t>
        </is>
      </c>
      <c r="W73" s="6" t="inlineStr">
        <is>
          <t>No</t>
        </is>
      </c>
      <c r="X73" s="6" t="inlineStr">
        <is>
          <t>PASS</t>
        </is>
      </c>
      <c r="Y73" s="6" t="inlineStr">
        <is>
          <t>Không trích đúng trang 7 (±1)</t>
        </is>
      </c>
      <c r="Z73" s="6" t="inlineStr">
        <is>
          <t>PASS</t>
        </is>
      </c>
      <c r="AA73" s="6">
        <f>IF(Z73="",X73,Z73)</f>
        <v/>
      </c>
      <c r="AB73" s="6" t="n"/>
      <c r="AC73" s="6" t="inlineStr">
        <is>
          <t>[AI] Đồng ý với chấm tự động</t>
        </is>
      </c>
    </row>
    <row r="74">
      <c r="A74" s="6" t="inlineStr">
        <is>
          <t>LAW_D_013</t>
        </is>
      </c>
      <c r="B74" s="6" t="inlineStr">
        <is>
          <t>Navigation</t>
        </is>
      </c>
      <c r="C74" s="6" t="inlineStr">
        <is>
          <t>Muốn tra kỳ hạn trả lương, cần tìm mục nào?</t>
        </is>
      </c>
      <c r="D74" s="6" t="inlineStr">
        <is>
          <t>Mục “Kỳ hạn trả lương” trong chương/phần về tiền lương.</t>
        </is>
      </c>
      <c r="E74" s="6" t="inlineStr">
        <is>
          <t>Căn cứ: phần “Tiền lương”, trang 8. Nội dung được tài liệu xác nhận: Mục “Kỳ hạn trả lương” trong chương/phần về tiền lương.</t>
        </is>
      </c>
      <c r="F74" s="6" t="n">
        <v>8</v>
      </c>
      <c r="G74" s="6" t="inlineStr">
        <is>
          <t>Tiền lương</t>
        </is>
      </c>
      <c r="H74" s="6" t="inlineStr">
        <is>
          <t>kỳ hạn | trả lương</t>
        </is>
      </c>
      <c r="I74" s="6" t="inlineStr">
        <is>
          <t>Medium</t>
        </is>
      </c>
      <c r="J74" s="6" t="inlineStr">
        <is>
          <t>Single Chunk</t>
        </is>
      </c>
      <c r="K74" s="6" t="inlineStr">
        <is>
          <t>Yes</t>
        </is>
      </c>
      <c r="L74" s="6" t="inlineStr">
        <is>
          <t>Answer from document</t>
        </is>
      </c>
      <c r="M74" s="6" t="n"/>
      <c r="N74" s="6" t="inlineStr">
        <is>
          <t>ILO-VCCI_Labour-Law-Guide-Book-V04-Final</t>
        </is>
      </c>
      <c r="O74" s="6" t="inlineStr">
        <is>
          <t>Dựa trên tài liệu được cung cấp, tôi không tìm thấy thông tin để trả lời câu hỏi này.</t>
        </is>
      </c>
      <c r="P74" s="6" t="inlineStr"/>
      <c r="Q74" s="6" t="inlineStr"/>
      <c r="R74" s="6" t="inlineStr">
        <is>
          <t>(no LLM call: early exit)</t>
        </is>
      </c>
      <c r="S74" s="6" t="n">
        <v>11.8</v>
      </c>
      <c r="T74" s="7" t="n">
        <v>0</v>
      </c>
      <c r="U74" s="7" t="n">
        <v>0.1111111111111111</v>
      </c>
      <c r="V74" s="6" t="inlineStr">
        <is>
          <t>No</t>
        </is>
      </c>
      <c r="W74" s="6" t="inlineStr">
        <is>
          <t>No</t>
        </is>
      </c>
      <c r="X74" s="6" t="inlineStr">
        <is>
          <t>FAIL</t>
        </is>
      </c>
      <c r="Y74" s="6" t="inlineStr">
        <is>
          <t>Từ chối trả lời dù câu hỏi có đáp án</t>
        </is>
      </c>
      <c r="Z74" s="6" t="inlineStr">
        <is>
          <t>FAIL</t>
        </is>
      </c>
      <c r="AA74" s="6">
        <f>IF(Z74="",X74,Z74)</f>
        <v/>
      </c>
      <c r="AB74" s="6" t="inlineStr">
        <is>
          <t>DEF-02</t>
        </is>
      </c>
      <c r="AC74" s="6" t="inlineStr">
        <is>
          <t>[AI] Từ chối câu hỏi điều hướng</t>
        </is>
      </c>
    </row>
    <row r="75">
      <c r="A75" s="6" t="inlineStr">
        <is>
          <t>LAW_D_014</t>
        </is>
      </c>
      <c r="B75" s="6" t="inlineStr">
        <is>
          <t>Scope</t>
        </is>
      </c>
      <c r="C75" s="6" t="inlineStr">
        <is>
          <t>Cẩm nang có áp dụng chi tiết cho doanh nghiệp cho thuê lại lao động không?</t>
        </is>
      </c>
      <c r="D75" s="6" t="inlineStr">
        <is>
          <t>Không phải trọng tâm. Tài liệu lưu ý phạm vi dành cho đa số doanh nghiệp sản xuất kinh doanh; doanh nghiệp kinh doanh có điều kiện như cho thuê lại lao động được hướng dẫn chi tiết ở tài liệu khác.</t>
        </is>
      </c>
      <c r="E75" s="6" t="inlineStr">
        <is>
          <t>Căn cứ: phần “Lời nói đầu - Phạm vi”, trang None. Nội dung được tài liệu xác nhận: Không phải trọng tâm. Tài liệu lưu ý phạm vi dành cho đa số doanh nghiệp sản xuất kinh doanh; doanh nghiệp kinh doanh có điều kiện như cho thuê lại lao động được hướng dẫn chi tiết ở tài liệu khác.</t>
        </is>
      </c>
      <c r="F75" s="6" t="n"/>
      <c r="G75" s="6" t="inlineStr">
        <is>
          <t>Lời nói đầu - Phạm vi</t>
        </is>
      </c>
      <c r="H75" s="6" t="inlineStr">
        <is>
          <t>phạm vi | cho thuê lại lao động | tài liệu khác</t>
        </is>
      </c>
      <c r="I75" s="6" t="inlineStr">
        <is>
          <t>Medium</t>
        </is>
      </c>
      <c r="J75" s="6" t="inlineStr">
        <is>
          <t>Single Chunk</t>
        </is>
      </c>
      <c r="K75" s="6" t="inlineStr">
        <is>
          <t>Yes</t>
        </is>
      </c>
      <c r="L75" s="6" t="inlineStr">
        <is>
          <t>Answer from document</t>
        </is>
      </c>
      <c r="M75" s="6" t="n"/>
      <c r="N75" s="6" t="inlineStr">
        <is>
          <t>ILO-VCCI_Labour-Law-Guide-Book-V04-Final</t>
        </is>
      </c>
      <c r="O75" s="6" t="inlineStr">
        <is>
          <t>Dựa trên tài liệu được cung cấp, phạm vi của cẩm nang dành cho đa số các doanh nghiệp sản xuất kinh doanh, tuy nhiên đối với các doanh nghiệp thuộc lĩnh vực kinh doanh có điều kiện như cho thuê lại lao động sẽ không được hướng dẫn chi tiết trong cẩm nang này mà sẽ được hướng dẫn chi tiết ở tài liệu khác [SOURCE_1].</t>
        </is>
      </c>
      <c r="P75" s="6" t="inlineStr">
        <is>
          <t>[SOURCE_1] ILO-VCCI_Labour-Law-Guide-Book-V04-Final | tr.4 | C ẨM NANG THỰC HIỆN BỘ LUẬT LAO ĐỘNG 2019 TẠI DOANH NGHIỆP | 0.9962</t>
        </is>
      </c>
      <c r="Q75" s="6" t="inlineStr">
        <is>
          <t>[SOURCE_1] ILO-VCCI_Labour-Law-Guide-Book-V04-Final | tr.4 | C ẨM NANG THỰC HIỆN BỘ LUẬT LAO ĐỘNG 2019 TẠI DOANH NGHIỆP | 0.9962
[SOURCE_2] luu-ban-nhap-tu-dong-3-4 | tr.170 | Điều 65. An toàn, vệ sinh lao động trong trường hợp cho thuê | 0.639
[SOURCE_3] ILO-VCCI_Labour-Law-Guide-Book-V04-Final | tr.131 | K ẾT LUẬN | 0.6096
[SOURCE_4] Văn-bản-hợp-nhất-18-VBHN-VPQH | tr.22 | Mục 5 CHO THUÊ LẠI LAO ĐỘNG &gt; Điều 52. Cho thuê lại lao động | 0.4841
[SOURCE_5] luu-ban-nhap-tu-dong-3-4 | tr.363 | Điều 3. Giải thích từ ngữ | 0.4912</t>
        </is>
      </c>
      <c r="R75" s="6" t="inlineStr">
        <is>
          <t>gemini-3.5-flash-lite</t>
        </is>
      </c>
      <c r="S75" s="6" t="n">
        <v>20.7</v>
      </c>
      <c r="T75" s="7" t="n">
        <v>1</v>
      </c>
      <c r="U75" s="7" t="n">
        <v>0.896551724137931</v>
      </c>
      <c r="V75" s="6" t="inlineStr">
        <is>
          <t>Yes</t>
        </is>
      </c>
      <c r="W75" s="6" t="inlineStr">
        <is>
          <t>n/a</t>
        </is>
      </c>
      <c r="X75" s="6" t="inlineStr">
        <is>
          <t>PASS</t>
        </is>
      </c>
      <c r="Y75" s="6" t="inlineStr"/>
      <c r="Z75" s="6" t="inlineStr">
        <is>
          <t>PASS</t>
        </is>
      </c>
      <c r="AA75" s="6">
        <f>IF(Z75="",X75,Z75)</f>
        <v/>
      </c>
      <c r="AB75" s="6" t="n"/>
      <c r="AC75" s="6" t="inlineStr">
        <is>
          <t>[AI] Đồng ý với chấm tự động</t>
        </is>
      </c>
    </row>
    <row r="76">
      <c r="A76" s="6" t="inlineStr">
        <is>
          <t>LAW_D_015</t>
        </is>
      </c>
      <c r="B76" s="6" t="inlineStr">
        <is>
          <t>Multi-hop</t>
        </is>
      </c>
      <c r="C76" s="6" t="inlineStr">
        <is>
          <t>Một doanh nghiệp hỏi vừa về chuyển NLĐ sang công việc khác vừa về chấm dứt HĐLĐ do thay đổi cơ cấu. Retrieval nên lấy những phần nào?</t>
        </is>
      </c>
      <c r="D76" s="6" t="inlineStr">
        <is>
          <t>Cần kết hợp nội dung Chương I về chuyển NLĐ làm công việc khác so với HĐLĐ với phần chấm dứt HĐLĐ do thay đổi cơ cấu, công nghệ/lý do kinh tế.</t>
        </is>
      </c>
      <c r="E76" s="6" t="inlineStr">
        <is>
          <t>Căn cứ: phần “Chương I + Chấm dứt HĐLĐ”, trang 4. Nội dung được tài liệu xác nhận: Cần kết hợp nội dung Chương I về chuyển NLĐ làm công việc khác so với HĐLĐ với phần chấm dứt HĐLĐ do thay đổi cơ cấu, công nghệ/lý do kinh tế.</t>
        </is>
      </c>
      <c r="F76" s="6" t="n">
        <v>4</v>
      </c>
      <c r="G76" s="6" t="inlineStr">
        <is>
          <t>Chương I + Chấm dứt HĐLĐ</t>
        </is>
      </c>
      <c r="H76" s="6" t="inlineStr">
        <is>
          <t>chuyển công việc | thay đổi cơ cấu | chấm dứt</t>
        </is>
      </c>
      <c r="I76" s="6" t="inlineStr">
        <is>
          <t>Hard</t>
        </is>
      </c>
      <c r="J76" s="6" t="inlineStr">
        <is>
          <t>Multiple Chunks</t>
        </is>
      </c>
      <c r="K76" s="6" t="inlineStr">
        <is>
          <t>Yes</t>
        </is>
      </c>
      <c r="L76" s="6" t="inlineStr">
        <is>
          <t>Answer from document</t>
        </is>
      </c>
      <c r="M76" s="6" t="n"/>
      <c r="N76" s="6" t="inlineStr">
        <is>
          <t>ILO-VCCI_Labour-Law-Guide-Book-V04-Final</t>
        </is>
      </c>
      <c r="O76" s="6" t="inlineStr">
        <is>
          <t>Dựa trên tài liệu được cung cấp, tôi không tìm thấy thông tin để trả lời câu hỏi này.</t>
        </is>
      </c>
      <c r="P76" s="6" t="inlineStr"/>
      <c r="Q76" s="6" t="inlineStr">
        <is>
          <t>[SOURCE_1] ILO-VCCI_Labour-Law-Guide-Book-V04-Final | tr.36 | 3. Những điểm mới cần lưu ý khi thực hiện quy trình cho thôi | 0.7433
[SOURCE_2] ILO-VCCI_Labour-Law-Guide-Book-V04-Final | tr.38 | 5. Các vấn đề cần lưu ý khi chấm dứt HĐLĐ do thay đổi cơ cấu | 0.642
[SOURCE_3] ILO-VCCI_Labour-Law-Guide-Book-V04-Final | tr.33 | III. CHẤM DỨT HĐLĐ DO THAY ĐỔI CƠ CẤU, CÔNG NGHỆ HOẶC VÌ LÝ  | 0.6049
[SOURCE_4] ILO-VCCI_Labour-Law-Guide-Book-V04-Final | tr.6 | MỤC LỤC | 0.5582
[SOURCE_5] ILO-VCCI_Labour-Law-Guide-Book-V04-Final | tr.38 | 4. Trách nhiệm chi trả trợ cấp mất việc làm của NSDLĐ khi ch | 0.4097</t>
        </is>
      </c>
      <c r="R76" s="6" t="inlineStr">
        <is>
          <t>gemini-3.5-flash-lite</t>
        </is>
      </c>
      <c r="S76" s="6" t="n">
        <v>16.5</v>
      </c>
      <c r="T76" s="7" t="n">
        <v>0</v>
      </c>
      <c r="U76" s="7" t="n">
        <v>0</v>
      </c>
      <c r="V76" s="6" t="inlineStr">
        <is>
          <t>No</t>
        </is>
      </c>
      <c r="W76" s="6" t="inlineStr">
        <is>
          <t>No</t>
        </is>
      </c>
      <c r="X76" s="6" t="inlineStr">
        <is>
          <t>FAIL</t>
        </is>
      </c>
      <c r="Y76" s="6" t="inlineStr">
        <is>
          <t>Từ chối trả lời dù câu hỏi có đáp án</t>
        </is>
      </c>
      <c r="Z76" s="6" t="inlineStr">
        <is>
          <t>FAIL</t>
        </is>
      </c>
      <c r="AA76" s="6">
        <f>IF(Z76="",X76,Z76)</f>
        <v/>
      </c>
      <c r="AB76" s="6" t="inlineStr">
        <is>
          <t>DEF-03</t>
        </is>
      </c>
      <c r="AC76" s="6" t="inlineStr">
        <is>
          <t>[AI] Từ chối câu hỏi gộp 2 chủ đề</t>
        </is>
      </c>
    </row>
    <row r="77">
      <c r="A77" s="6" t="inlineStr">
        <is>
          <t>LAW_D_016</t>
        </is>
      </c>
      <c r="B77" s="6" t="inlineStr">
        <is>
          <t>Multi-hop</t>
        </is>
      </c>
      <c r="C77" s="6" t="inlineStr">
        <is>
          <t>Một câu hỏi về làm thêm vào ngày lễ vừa liên quan thời giờ nghỉ vừa liên quan tiền lương. Cẩm nang định hướng retrieval qua những nhóm nội dung nào?</t>
        </is>
      </c>
      <c r="D77" s="6" t="inlineStr">
        <is>
          <t>Cần kết hợp phần ngày nghỉ lễ, tết/quy định làm thêm giờ với phần tiền lương, đặc biệt tiền lương làm thêm giờ và làm việc ban đêm.</t>
        </is>
      </c>
      <c r="E77" s="6" t="inlineStr">
        <is>
          <t>Căn cứ: phần “Nghỉ lễ/tết + Tiền lương”, trang 4. Nội dung được tài liệu xác nhận: Cần kết hợp phần ngày nghỉ lễ, tết/quy định làm thêm giờ với phần tiền lương, đặc biệt tiền lương làm thêm giờ và làm việc ban đêm.</t>
        </is>
      </c>
      <c r="F77" s="6" t="n">
        <v>4</v>
      </c>
      <c r="G77" s="6" t="inlineStr">
        <is>
          <t>Nghỉ lễ/tết + Tiền lương</t>
        </is>
      </c>
      <c r="H77" s="6" t="inlineStr">
        <is>
          <t>ngày lễ | làm thêm | tiền lương</t>
        </is>
      </c>
      <c r="I77" s="6" t="inlineStr">
        <is>
          <t>Hard</t>
        </is>
      </c>
      <c r="J77" s="6" t="inlineStr">
        <is>
          <t>Multiple Chunks</t>
        </is>
      </c>
      <c r="K77" s="6" t="inlineStr">
        <is>
          <t>Yes</t>
        </is>
      </c>
      <c r="L77" s="6" t="inlineStr">
        <is>
          <t>Answer from document</t>
        </is>
      </c>
      <c r="M77" s="6" t="n"/>
      <c r="N77" s="6" t="inlineStr">
        <is>
          <t>ILO-VCCI_Labour-Law-Guide-Book-V04-Final</t>
        </is>
      </c>
      <c r="O77" s="6" t="inlineStr">
        <is>
          <t>Dựa trên tài liệu được cung cấp, cẩm nang tập trung vào các thay đổi quan trọng liên quan đến các nhóm nội dung như: HĐLĐ; hình thức của HĐLĐ; hành vi người sử dụng lao động không được làm khi giao kết, thực hiện HĐLĐ; thời gian thử việc; chuyển người lao động làm công việc khác so với HĐLĐ; tạm hoãn thực hiện HĐLĐ; quyền đơn phương chấm dứt HĐLĐ của người lao động và người sử dụng lao động; tổ chức đối thoại tại nơi làm việc; tiền lương thỏa ước tập thể (TLTT); nguyên tắc trả lương; thưởng; làm thêm giờ; nghỉ lễ, tết; sử dụng người lao động cao tuổi; tuổi nghỉ hưu [SOURCE_4]. 
Nội dung chính của cẩm nang bao gồm: Giới thiệu về thỏa ước lao động tập thể tại doanh nghiệp (TLTTNDN); quan hệ lao động (QHLĐ) và hợp đồng lao động (HĐLĐ); chấm dứt HĐLĐ; tiền lương; ngày nghỉ lễ, tết – quy định về làm thêm giờ; nghỉ hưu; lao động nữ; kỷ luật lao động (KLLĐ) [SOURCE_1], [SOURCE_4].</t>
        </is>
      </c>
      <c r="P77" s="6" t="inlineStr">
        <is>
          <t>[SOURCE_1] ILO-VCCI_Labour-Law-Guide-Book-V04-Final | tr.4 | C ẨM NANG THỰC HIỆN BỘ LUẬT LAO ĐỘNG 2019 TẠI DOANH NGHIỆP | 0.7563
[SOURCE_4] ILO-VCCI_Labour-Law-Guide-Book-V04-Final | tr.4 | C ẨM NANG THỰC HIỆN BỘ LUẬT LAO ĐỘNG 2019 TẠI DOANH NGHIỆP | 0.3808</t>
        </is>
      </c>
      <c r="Q77" s="6" t="inlineStr">
        <is>
          <t>[SOURCE_1] ILO-VCCI_Labour-Law-Guide-Book-V04-Final | tr.4 | C ẨM NANG THỰC HIỆN BỘ LUẬT LAO ĐỘNG 2019 TẠI DOANH NGHIỆP | 0.7563
[SOURCE_2] ILO-VCCI_Labour-Law-Guide-Book-V04-Final | tr.101 | (c) Làm thêm giờ vào ngày lễ, tết trùng vào ngày nghỉ hằng t | 0.7003
[SOURCE_3] luu-ban-nhap-tu-dong-3-4 | tr.424 | Điều 25. Tiền lương làm thêm giờ, làm việc vào ban đêm | 0.4553
[SOURCE_4] ILO-VCCI_Labour-Law-Guide-Book-V04-Final | tr.4 | C ẨM NANG THỰC HIỆN BỘ LUẬT LAO ĐỘNG 2019 TẠI DOANH NGHIỆP | 0.3808
[SOURCE_5] so-tay-kien-thuc-phap-luat-lao-dong-cdi | tr.19 | Trả lời: | 0.3533</t>
        </is>
      </c>
      <c r="R77" s="6" t="inlineStr">
        <is>
          <t>gemini-3.5-flash-lite</t>
        </is>
      </c>
      <c r="S77" s="6" t="n">
        <v>23.3</v>
      </c>
      <c r="T77" s="7" t="n">
        <v>1</v>
      </c>
      <c r="U77" s="7" t="n">
        <v>0.7407407407407407</v>
      </c>
      <c r="V77" s="6" t="inlineStr">
        <is>
          <t>Yes</t>
        </is>
      </c>
      <c r="W77" s="6" t="inlineStr">
        <is>
          <t>Yes</t>
        </is>
      </c>
      <c r="X77" s="6" t="inlineStr">
        <is>
          <t>PASS</t>
        </is>
      </c>
      <c r="Y77" s="6" t="inlineStr"/>
      <c r="Z77" s="6" t="inlineStr">
        <is>
          <t>PARTIAL</t>
        </is>
      </c>
      <c r="AA77" s="6">
        <f>IF(Z77="",X77,Z77)</f>
        <v/>
      </c>
      <c r="AB77" s="6" t="inlineStr">
        <is>
          <t>DEF-02</t>
        </is>
      </c>
      <c r="AC77" s="6" t="inlineStr">
        <is>
          <t>[AI] PASS oan của scorer: liệt kê toàn bộ nội dung cẩm nang, không chọn ra phần nghỉ lễ/làm thêm giờ và tiền lương</t>
        </is>
      </c>
    </row>
    <row r="78">
      <c r="A78" s="6" t="inlineStr">
        <is>
          <t>LAW_D_017</t>
        </is>
      </c>
      <c r="B78" s="6" t="inlineStr">
        <is>
          <t>Comparison</t>
        </is>
      </c>
      <c r="C78" s="6" t="inlineStr">
        <is>
          <t>Vì sao cẩm nang phù hợp để test câu hỏi “điểm mới” hơn một văn bản luật thuần túy?</t>
        </is>
      </c>
      <c r="D78" s="6" t="inlineStr">
        <is>
          <t>Vì cẩm nang chủ động so sánh BLLĐ 2012 với BLLĐ 2019 và giải thích thay đổi, thay vì chỉ trình bày điều khoản hiện hành.</t>
        </is>
      </c>
      <c r="E78" s="6" t="inlineStr">
        <is>
          <t>Căn cứ: phần “Lời nói đầu”, trang None. Nội dung được tài liệu xác nhận: Vì cẩm nang chủ động so sánh BLLĐ 2012 với BLLĐ 2019 và giải thích thay đổi, thay vì chỉ trình bày điều khoản hiện hành.</t>
        </is>
      </c>
      <c r="F78" s="6" t="n"/>
      <c r="G78" s="6" t="inlineStr">
        <is>
          <t>Lời nói đầu</t>
        </is>
      </c>
      <c r="H78" s="6" t="inlineStr">
        <is>
          <t>so sánh | điểm mới | 2012 | 2019</t>
        </is>
      </c>
      <c r="I78" s="6" t="inlineStr">
        <is>
          <t>Hard</t>
        </is>
      </c>
      <c r="J78" s="6" t="inlineStr">
        <is>
          <t>Single Chunk</t>
        </is>
      </c>
      <c r="K78" s="6" t="inlineStr">
        <is>
          <t>Yes</t>
        </is>
      </c>
      <c r="L78" s="6" t="inlineStr">
        <is>
          <t>Answer from document</t>
        </is>
      </c>
      <c r="M78" s="6" t="n"/>
      <c r="N78" s="6" t="inlineStr">
        <is>
          <t>ILO-VCCI_Labour-Law-Guide-Book-V04-Final</t>
        </is>
      </c>
      <c r="O78" s="6" t="inlineStr">
        <is>
          <t>Dựa trên tài liệu được cung cấp, tôi không tìm thấy thông tin để trả lời câu hỏi này.</t>
        </is>
      </c>
      <c r="P78" s="6" t="inlineStr"/>
      <c r="Q78" s="6" t="inlineStr"/>
      <c r="R78" s="6" t="inlineStr">
        <is>
          <t>(no LLM call: early exit)</t>
        </is>
      </c>
      <c r="S78" s="6" t="n">
        <v>13.1</v>
      </c>
      <c r="T78" s="7" t="n">
        <v>0</v>
      </c>
      <c r="U78" s="7" t="n">
        <v>0</v>
      </c>
      <c r="V78" s="6" t="inlineStr">
        <is>
          <t>No</t>
        </is>
      </c>
      <c r="W78" s="6" t="inlineStr">
        <is>
          <t>n/a</t>
        </is>
      </c>
      <c r="X78" s="6" t="inlineStr">
        <is>
          <t>FAIL</t>
        </is>
      </c>
      <c r="Y78" s="6" t="inlineStr">
        <is>
          <t>Từ chối trả lời dù câu hỏi có đáp án</t>
        </is>
      </c>
      <c r="Z78" s="6" t="inlineStr">
        <is>
          <t>FAIL</t>
        </is>
      </c>
      <c r="AA78" s="6">
        <f>IF(Z78="",X78,Z78)</f>
        <v/>
      </c>
      <c r="AB78" s="6" t="inlineStr">
        <is>
          <t>DEF-04</t>
        </is>
      </c>
      <c r="AC78" s="6" t="inlineStr">
        <is>
          <t>[AI] Từ chối</t>
        </is>
      </c>
    </row>
    <row r="79">
      <c r="A79" s="6" t="inlineStr">
        <is>
          <t>LAW_D_018</t>
        </is>
      </c>
      <c r="B79" s="6" t="inlineStr">
        <is>
          <t>Source-awareness</t>
        </is>
      </c>
      <c r="C79" s="6" t="inlineStr">
        <is>
          <t>Nếu cẩm nang nói một quy định “mới” của BLLĐ 2019, RAG có nên tự suy ra đó vẫn là quy định mới nhất năm 2026 không?</t>
        </is>
      </c>
      <c r="D79" s="6" t="inlineStr">
        <is>
          <t>Không. Cẩm nang xuất bản năm 2021 và tự lưu ý có thể có quy định mới chưa kịp cập nhật; câu hỏi hiện hành 2026 cần đối chiếu nguồn pháp luật cập nhật hơn.</t>
        </is>
      </c>
      <c r="E79" s="6" t="inlineStr">
        <is>
          <t>Căn cứ: phần “Lời nói đầu - Lưu ý cập nhật”, trang None. Nội dung được tài liệu xác nhận: Không. Cẩm nang xuất bản năm 2021 và tự lưu ý có thể có quy định mới chưa kịp cập nhật; câu hỏi hiện hành 2026 cần đối chiếu nguồn pháp luật cập nhật hơn.</t>
        </is>
      </c>
      <c r="F79" s="6" t="n"/>
      <c r="G79" s="6" t="inlineStr">
        <is>
          <t>Lời nói đầu - Lưu ý cập nhật</t>
        </is>
      </c>
      <c r="H79" s="6" t="inlineStr">
        <is>
          <t>2021 | cập nhật | 2026 | đối chiếu</t>
        </is>
      </c>
      <c r="I79" s="6" t="inlineStr">
        <is>
          <t>Hard</t>
        </is>
      </c>
      <c r="J79" s="6" t="inlineStr">
        <is>
          <t>Multiple Chunks</t>
        </is>
      </c>
      <c r="K79" s="6" t="inlineStr">
        <is>
          <t>Yes</t>
        </is>
      </c>
      <c r="L79" s="6" t="inlineStr">
        <is>
          <t>Answer with temporal caveat</t>
        </is>
      </c>
      <c r="M79" s="6" t="n"/>
      <c r="N79" s="6" t="inlineStr">
        <is>
          <t>ILO-VCCI_Labour-Law-Guide-Book-V04-Final</t>
        </is>
      </c>
      <c r="O79" s="6" t="inlineStr">
        <is>
          <t>Dựa trên tài liệu được cung cấp, tôi không tìm thấy thông tin để trả lời câu hỏi này.</t>
        </is>
      </c>
      <c r="P79" s="6" t="inlineStr"/>
      <c r="Q79" s="6" t="inlineStr">
        <is>
          <t>[SOURCE_1] ILO-VCCI_Labour-Law-Guide-Book-V04-Final | tr.4 | C ẨM NANG THỰC HIỆN BỘ LUẬT LAO ĐỘNG 2019 TẠI DOANH NGHIỆP | 0.6836
[SOURCE_2] ILO-VCCI_Labour-Law-Guide-Book-V04-Final | tr.131 | K ẾT LUẬN | 0.5247
[SOURCE_3] ILO-VCCI_Labour-Law-Guide-Book-V04-Final | tr.3 | Vai trò và mục tiêu của Cẩm nang Thực hiện BLLĐ 2019 đối với | 0.3804</t>
        </is>
      </c>
      <c r="R79" s="6" t="inlineStr">
        <is>
          <t>gemini-3.5-flash-lite</t>
        </is>
      </c>
      <c r="S79" s="6" t="n">
        <v>15.5</v>
      </c>
      <c r="T79" s="7" t="n">
        <v>0</v>
      </c>
      <c r="U79" s="7" t="n">
        <v>0.06666666666666667</v>
      </c>
      <c r="V79" s="6" t="inlineStr">
        <is>
          <t>No</t>
        </is>
      </c>
      <c r="W79" s="6" t="inlineStr">
        <is>
          <t>n/a</t>
        </is>
      </c>
      <c r="X79" s="6" t="inlineStr">
        <is>
          <t>FAIL</t>
        </is>
      </c>
      <c r="Y79" s="6" t="inlineStr">
        <is>
          <t>Từ chối trả lời dù câu hỏi có đáp án</t>
        </is>
      </c>
      <c r="Z79" s="6" t="inlineStr">
        <is>
          <t>FAIL</t>
        </is>
      </c>
      <c r="AA79" s="6">
        <f>IF(Z79="",X79,Z79)</f>
        <v/>
      </c>
      <c r="AB79" s="6" t="inlineStr">
        <is>
          <t>DEF-04</t>
        </is>
      </c>
      <c r="AC79" s="6" t="inlineStr">
        <is>
          <t>[AI] Từ chối; câu hỏi về hành vi RAG, cần SME xem lại thiết kế test</t>
        </is>
      </c>
    </row>
    <row r="80">
      <c r="A80" s="6" t="inlineStr">
        <is>
          <t>LAW_D_019</t>
        </is>
      </c>
      <c r="B80" s="6" t="inlineStr">
        <is>
          <t>Synthesis</t>
        </is>
      </c>
      <c r="C80" s="6" t="inlineStr">
        <is>
          <t>Mục tiêu của cẩm nang đối với quản trị doanh nghiệp là gì ngoài việc “biết luật”?</t>
        </is>
      </c>
      <c r="D80" s="6" t="inlineStr">
        <is>
          <t>Giúp NSDLĐ nhận diện thay đổi pháp luật để tuân thủ, cải cách bộ máy quản lý và tổ chức đối thoại/thương lượng tập thể, qua đó hạn chế mâu thuẫn trong quan hệ lao động.</t>
        </is>
      </c>
      <c r="E80" s="6" t="inlineStr">
        <is>
          <t>Căn cứ: phần “Lời nói đầu”, trang 3. Nội dung được tài liệu xác nhận: Giúp NSDLĐ nhận diện thay đổi pháp luật để tuân thủ, cải cách bộ máy quản lý và tổ chức đối thoại/thương lượng tập thể, qua đó hạn chế mâu thuẫn trong quan hệ lao động.</t>
        </is>
      </c>
      <c r="F80" s="6" t="n">
        <v>3</v>
      </c>
      <c r="G80" s="6" t="inlineStr">
        <is>
          <t>Lời nói đầu</t>
        </is>
      </c>
      <c r="H80" s="6" t="inlineStr">
        <is>
          <t>tuân thủ | quản trị | đối thoại | thương lượng | mâu thuẫn</t>
        </is>
      </c>
      <c r="I80" s="6" t="inlineStr">
        <is>
          <t>Hard</t>
        </is>
      </c>
      <c r="J80" s="6" t="inlineStr">
        <is>
          <t>Multiple Chunks</t>
        </is>
      </c>
      <c r="K80" s="6" t="inlineStr">
        <is>
          <t>Yes</t>
        </is>
      </c>
      <c r="L80" s="6" t="inlineStr">
        <is>
          <t>Answer from document</t>
        </is>
      </c>
      <c r="M80" s="6" t="n"/>
      <c r="N80" s="6" t="inlineStr">
        <is>
          <t>ILO-VCCI_Labour-Law-Guide-Book-V04-Final</t>
        </is>
      </c>
      <c r="O80" s="6" t="inlineStr">
        <is>
          <t>Dựa trên tài liệu được cung cấp, mục tiêu của cẩm nang đối với người sử dụng lao động (doanh nghiệp) ngoài việc giúp nắm bắt các quy định mới của Bộ luật Lao động 2019 còn bao gồm:
* Tạo điều kiện cho người sử dụng lao động tuân thủ đúng các quy định hiện hành trong quan hệ lao động [SOURCE_3].
* Giúp người sử dụng lao động thực hiện những cải cách cần thiết trong bộ máy quản lý cũng như tổ chức các hoạt động đối thoại, thương lượng tập thể (TLTT) để đảm bảo quyền lợi và nghĩa vụ của các bên theo đúng quy định pháp luật, từ đó tránh các mâu thuẫn và hạn chế rủi ro, tranh chấp phát sinh giữa người sử dụng lao động và người lao động [SOURCE_2, SOURCE_3].
* Đáp ứng nhu cầu sản xuất, hoạt động của doanh nghiệp trong công tác quản lý và sử dụng lao động [SOURCE_2].</t>
        </is>
      </c>
      <c r="P80" s="6" t="inlineStr">
        <is>
          <t>[SOURCE_2] ILO-VCCI_Labour-Law-Guide-Book-V04-Final | tr.131 | K ẾT LUẬN | 0.7355
[SOURCE_3] ILO-VCCI_Labour-Law-Guide-Book-V04-Final | tr.3 | Vai trò và mục tiêu của Cẩm nang Thực hiện BLLĐ 2019 đối với | 0.6454</t>
        </is>
      </c>
      <c r="Q80" s="6" t="inlineStr">
        <is>
          <t>[SOURCE_1] ILO-VCCI_Labour-Law-Guide-Book-V04-Final | tr.4 | C ẨM NANG THỰC HIỆN BỘ LUẬT LAO ĐỘNG 2019 TẠI DOANH NGHIỆP | 0.8133
[SOURCE_2] ILO-VCCI_Labour-Law-Guide-Book-V04-Final | tr.131 | K ẾT LUẬN | 0.7355
[SOURCE_3] ILO-VCCI_Labour-Law-Guide-Book-V04-Final | tr.3 | Vai trò và mục tiêu của Cẩm nang Thực hiện BLLĐ 2019 đối với | 0.6454
[SOURCE_4] ILO-VCCI_Labour-Law-Guide-Book-V04-Final | tr.4 | C ẨM NANG THỰC HIỆN BỘ LUẬT LAO ĐỘNG 2019 TẠI DOANH NGHIỆP | 0.4033</t>
        </is>
      </c>
      <c r="R80" s="6" t="inlineStr">
        <is>
          <t>gemini-3.5-flash-lite</t>
        </is>
      </c>
      <c r="S80" s="6" t="n">
        <v>14.8</v>
      </c>
      <c r="T80" s="7" t="n">
        <v>0.8</v>
      </c>
      <c r="U80" s="7" t="n">
        <v>0.8648648648648649</v>
      </c>
      <c r="V80" s="6" t="inlineStr">
        <is>
          <t>Yes</t>
        </is>
      </c>
      <c r="W80" s="6" t="inlineStr">
        <is>
          <t>Yes</t>
        </is>
      </c>
      <c r="X80" s="6" t="inlineStr">
        <is>
          <t>PASS</t>
        </is>
      </c>
      <c r="Y80" s="6" t="inlineStr"/>
      <c r="Z80" s="6" t="inlineStr">
        <is>
          <t>PASS</t>
        </is>
      </c>
      <c r="AA80" s="6">
        <f>IF(Z80="",X80,Z80)</f>
        <v/>
      </c>
      <c r="AB80" s="6" t="n"/>
      <c r="AC80" s="6" t="inlineStr">
        <is>
          <t>[AI] Đồng ý với chấm tự động</t>
        </is>
      </c>
    </row>
    <row r="81">
      <c r="A81" s="6" t="inlineStr">
        <is>
          <t>LAW_D_020</t>
        </is>
      </c>
      <c r="B81" s="6" t="inlineStr">
        <is>
          <t>Scenario-based</t>
        </is>
      </c>
      <c r="C81" s="6" t="inlineStr">
        <is>
          <t>Doanh nghiệp hỏi một tình huống vừa có dấu hiệu quan hệ lao động, thử việc và sau đó sa thải. Retrieval tối thiểu nên phủ những phần nào của cẩm nang?</t>
        </is>
      </c>
      <c r="D81" s="6" t="inlineStr">
        <is>
          <t>Ít nhất Chương I về quan hệ lao động/HĐLĐ và thử việc, cùng Chương III về xử lý kỷ luật lao động/sa thải; nếu có chấm dứt HĐLĐ ngoài kỷ luật thì cần thêm chương chấm dứt HĐLĐ.</t>
        </is>
      </c>
      <c r="E81" s="6" t="inlineStr">
        <is>
          <t>Căn cứ: phần “Chương I + II/III liên quan”, trang 5. Nội dung được tài liệu xác nhận: Ít nhất Chương I về quan hệ lao động/HĐLĐ và thử việc, cùng Chương III về xử lý kỷ luật lao động/sa thải; nếu có chấm dứt HĐLĐ ngoài kỷ luật thì cần thêm chương chấm dứt HĐLĐ.</t>
        </is>
      </c>
      <c r="F81" s="6" t="n">
        <v>5</v>
      </c>
      <c r="G81" s="6" t="inlineStr">
        <is>
          <t>Chương I + II/III liên quan</t>
        </is>
      </c>
      <c r="H81" s="6" t="inlineStr">
        <is>
          <t>quan hệ lao động | thử việc | sa thải | chấm dứt</t>
        </is>
      </c>
      <c r="I81" s="6" t="inlineStr">
        <is>
          <t>Hard</t>
        </is>
      </c>
      <c r="J81" s="6" t="inlineStr">
        <is>
          <t>Multiple Chunks</t>
        </is>
      </c>
      <c r="K81" s="6" t="inlineStr">
        <is>
          <t>Yes</t>
        </is>
      </c>
      <c r="L81" s="6" t="inlineStr">
        <is>
          <t>Answer from document</t>
        </is>
      </c>
      <c r="M81" s="6" t="n"/>
      <c r="N81" s="6" t="inlineStr">
        <is>
          <t>ILO-VCCI_Labour-Law-Guide-Book-V04-Final</t>
        </is>
      </c>
      <c r="O81" s="6" t="inlineStr">
        <is>
          <t>Dựa trên tài liệu được cung cấp, tôi không tìm thấy thông tin để trả lời câu hỏi này.</t>
        </is>
      </c>
      <c r="P81" s="6" t="inlineStr"/>
      <c r="Q81" s="6" t="inlineStr"/>
      <c r="R81" s="6" t="inlineStr">
        <is>
          <t>(no LLM call: early exit)</t>
        </is>
      </c>
      <c r="S81" s="6" t="n">
        <v>20</v>
      </c>
      <c r="T81" s="7" t="n">
        <v>0</v>
      </c>
      <c r="U81" s="7" t="n">
        <v>0</v>
      </c>
      <c r="V81" s="6" t="inlineStr">
        <is>
          <t>No</t>
        </is>
      </c>
      <c r="W81" s="6" t="inlineStr">
        <is>
          <t>No</t>
        </is>
      </c>
      <c r="X81" s="6" t="inlineStr">
        <is>
          <t>FAIL</t>
        </is>
      </c>
      <c r="Y81" s="6" t="inlineStr">
        <is>
          <t>Từ chối trả lời dù câu hỏi có đáp án</t>
        </is>
      </c>
      <c r="Z81" s="6" t="inlineStr">
        <is>
          <t>FAIL</t>
        </is>
      </c>
      <c r="AA81" s="6">
        <f>IF(Z81="",X81,Z81)</f>
        <v/>
      </c>
      <c r="AB81" s="6" t="inlineStr">
        <is>
          <t>DEF-03</t>
        </is>
      </c>
      <c r="AC81" s="6" t="inlineStr">
        <is>
          <t>[AI] Từ chối câu hỏi gộp nhiều phần</t>
        </is>
      </c>
    </row>
    <row r="82">
      <c r="A82" s="6" t="inlineStr">
        <is>
          <t>LAW_E_001</t>
        </is>
      </c>
      <c r="B82" s="6" t="inlineStr">
        <is>
          <t>Direct Fact</t>
        </is>
      </c>
      <c r="C82" s="6" t="inlineStr">
        <is>
          <t>Bộ luật Lao động trong văn bản hợp nhất có hiệu lực gốc từ ngày nào?</t>
        </is>
      </c>
      <c r="D82" s="6" t="inlineStr">
        <is>
          <t>Bộ luật Lao động 45/2019/QH14 có hiệu lực từ ngày 01/01/2021.</t>
        </is>
      </c>
      <c r="E82" s="6" t="inlineStr">
        <is>
          <t>Căn cứ: phần “Phần mở đầu”, trang 1. Nội dung được tài liệu xác nhận: Bộ luật Lao động 45/2019/QH14 có hiệu lực từ ngày 01/01/2021.</t>
        </is>
      </c>
      <c r="F82" s="6" t="n">
        <v>1</v>
      </c>
      <c r="G82" s="6" t="inlineStr">
        <is>
          <t>Phần mở đầu</t>
        </is>
      </c>
      <c r="H82" s="6" t="inlineStr">
        <is>
          <t>01/01/2021 | 45/2019/QH14</t>
        </is>
      </c>
      <c r="I82" s="6" t="inlineStr">
        <is>
          <t>Easy</t>
        </is>
      </c>
      <c r="J82" s="6" t="inlineStr">
        <is>
          <t>Single Chunk</t>
        </is>
      </c>
      <c r="K82" s="6" t="inlineStr">
        <is>
          <t>Yes</t>
        </is>
      </c>
      <c r="L82" s="6" t="inlineStr">
        <is>
          <t>Answer from document</t>
        </is>
      </c>
      <c r="M82" s="6" t="n"/>
      <c r="N82" s="6" t="inlineStr">
        <is>
          <t>Văn-bản-hợp-nhất-18-VBHN-VPQH</t>
        </is>
      </c>
      <c r="O82" s="6" t="inlineStr">
        <is>
          <t>Dựa trên tài liệu được cung cấp, Bộ luật Lao động (Bộ luật Lao động số 45/2019/QH14) có hiệu lực kể từ ngày 01 tháng 01 năm 2021 [SOURCE_2, SOURCE_4].</t>
        </is>
      </c>
      <c r="P82" s="6" t="inlineStr"/>
      <c r="Q82" s="6" t="inlineStr">
        <is>
          <t>[SOURCE_1] luu-ban-nhap-tu-dong-3-4 | tr.432 | XÁC THỰC VĂN BẢN HỢP NHẤT BỘ TRƯỞNG | 0.9834
[SOURCE_2] Văn-bản-hợp-nhất-18-VBHN-VPQH | tr.86 | Điều 220. Hiệu lực thi hành | 0.9673
[SOURCE_3] luu-ban-nhap-tu-dong-3-4 | tr.433 | XÁC THỰC VĂN BẢN HỢP NHẤT BỘ TRƯỞNG | 0.9643
[SOURCE_4] Văn-bản-hợp-nhất-18-VBHN-VPQH | tr.1 | CỘNG HÒA XÃ HỘI CHỦ NGHĨA VIỆT NAM Độc lập - Tự do - Hạnh ph | 0.9533
[SOURCE_5] luu-ban-nhap-tu-dong-3-4 | tr.140 | Điều 240. Hiệu lực của Bộ luật Lao động | 0.9513</t>
        </is>
      </c>
      <c r="R82" s="6" t="inlineStr">
        <is>
          <t>gemini-3.5-flash-lite</t>
        </is>
      </c>
      <c r="S82" s="6" t="n">
        <v>15.8</v>
      </c>
      <c r="T82" s="7" t="n">
        <v>1</v>
      </c>
      <c r="U82" s="7" t="n">
        <v>1</v>
      </c>
      <c r="V82" s="6" t="inlineStr">
        <is>
          <t>No</t>
        </is>
      </c>
      <c r="W82" s="6" t="inlineStr">
        <is>
          <t>No</t>
        </is>
      </c>
      <c r="X82" s="6" t="inlineStr">
        <is>
          <t>PARTIAL</t>
        </is>
      </c>
      <c r="Y82" s="6" t="inlineStr">
        <is>
          <t>Không trích tài liệu mong đợi (có trong ngữ cảnh); Không trích đúng trang 1 (±1)</t>
        </is>
      </c>
      <c r="Z82" s="6" t="inlineStr">
        <is>
          <t>PARTIAL</t>
        </is>
      </c>
      <c r="AA82" s="6">
        <f>IF(Z82="",X82,Z82)</f>
        <v/>
      </c>
      <c r="AB82" s="6" t="inlineStr">
        <is>
          <t>DEF-01</t>
        </is>
      </c>
      <c r="AC82" s="6" t="inlineStr">
        <is>
          <t>[AI] Nội dung đúng nhưng mất toàn bộ trích dẫn (thẻ gộp)</t>
        </is>
      </c>
    </row>
    <row r="83">
      <c r="A83" s="6" t="inlineStr">
        <is>
          <t>LAW_E_002</t>
        </is>
      </c>
      <c r="B83" s="6" t="inlineStr">
        <is>
          <t>Definition</t>
        </is>
      </c>
      <c r="C83" s="6" t="inlineStr">
        <is>
          <t>Theo Điều 3, người lao động được định nghĩa như thế nào?</t>
        </is>
      </c>
      <c r="D83" s="6" t="inlineStr">
        <is>
          <t>Là người làm việc cho NSDLĐ theo thỏa thuận, được trả lương và chịu sự quản lý, điều hành, giám sát của NSDLĐ.</t>
        </is>
      </c>
      <c r="E83" s="6" t="inlineStr">
        <is>
          <t>Căn cứ: phần “Điều 3”, trang 2. Nội dung được tài liệu xác nhận: Là người làm việc cho NSDLĐ theo thỏa thuận, được trả lương và chịu sự quản lý, điều hành, giám sát của NSDLĐ.</t>
        </is>
      </c>
      <c r="F83" s="6" t="n">
        <v>2</v>
      </c>
      <c r="G83" s="6" t="inlineStr">
        <is>
          <t>Điều 3</t>
        </is>
      </c>
      <c r="H83" s="6" t="inlineStr">
        <is>
          <t>thỏa thuận | trả lương | quản lý | điều hành | giám sát</t>
        </is>
      </c>
      <c r="I83" s="6" t="inlineStr">
        <is>
          <t>Easy</t>
        </is>
      </c>
      <c r="J83" s="6" t="inlineStr">
        <is>
          <t>Single Chunk</t>
        </is>
      </c>
      <c r="K83" s="6" t="inlineStr">
        <is>
          <t>Yes</t>
        </is>
      </c>
      <c r="L83" s="6" t="inlineStr">
        <is>
          <t>Answer from document</t>
        </is>
      </c>
      <c r="M83" s="6" t="n"/>
      <c r="N83" s="6" t="inlineStr">
        <is>
          <t>Văn-bản-hợp-nhất-18-VBHN-VPQH</t>
        </is>
      </c>
      <c r="O83" s="6" t="inlineStr">
        <is>
          <t>Dựa trên các tài liệu được cung cấp, thuật ngữ "Người lao động" được định nghĩa ở Điều 3 tại các văn bản khác nhau như sau:
* Theo tài liệu [SOURCE_1], người lao động là người làm việc cho người sử dụng lao động theo thỏa thuận, được trả lương và chịu sự quản lý, điều hành, giám sát của người sử dụng lao động [SOURCE_1].
* Theo tài liệu [SOURCE_2], người lao động là người từ đủ 15 tuổi trở lên, có khả năng lao động, làm việc theo hợp đồng lao động, được trả lương và chịu sự quản lý, điều hành của người sử dụng lao động [SOURCE_2].
* Theo tài liệu [SOURCE_3], người lao động là công dân Việt Nam từ đủ 15 tuổi trở lên, có khả năng lao động và có nhu cầu làm việc [SOURCE_3].
* Theo tài liệu [SOURCE_4], lao động (được gọi chung là người lao động) là người giúp việc gia đình quy định tại Khoản 1 Điều 179 của Bộ luật Lao động, bao gồm: người lao động sống tại gia đình người sử dụng lao động và người lao động không sống tại gia đình người sử dụng lao động [SOURCE_4].</t>
        </is>
      </c>
      <c r="P83" s="6" t="inlineStr">
        <is>
          <t>[SOURCE_1] Văn-bản-hợp-nhất-18-VBHN-VPQH | tr.2 | Điều 3. Giai thích từ ngữ | 0.9878
[SOURCE_2] luu-ban-nhap-tu-dong-3-4 | tr.69 | Điều 3. Giải thích từ ngữ ữ | 0.9818
[SOURCE_3] luu-ban-nhap-tu-dong-3-4 | tr.272 | Điều 3. Giải thích từ ngữ | 0.9734
[SOURCE_4] luu-ban-nhap-tu-dong-3-4 | tr.526 | Điều 3. Giải thích từ ngữ | 0.9683</t>
        </is>
      </c>
      <c r="Q83" s="6" t="inlineStr">
        <is>
          <t>[SOURCE_1] Văn-bản-hợp-nhất-18-VBHN-VPQH | tr.2 | Điều 3. Giai thích từ ngữ | 0.9878
[SOURCE_2] luu-ban-nhap-tu-dong-3-4 | tr.69 | Điều 3. Giải thích từ ngữ ữ | 0.9818
[SOURCE_3] luu-ban-nhap-tu-dong-3-4 | tr.272 | Điều 3. Giải thích từ ngữ | 0.9734
[SOURCE_4] luu-ban-nhap-tu-dong-3-4 | tr.526 | Điều 3. Giải thích từ ngữ | 0.9683
[SOURCE_5] luu-ban-nhap-tu-dong-3-4 | tr.336 | Điều 3. Giải thích từ ngữ | 0.796</t>
        </is>
      </c>
      <c r="R83" s="6" t="inlineStr">
        <is>
          <t>gemini-3.5-flash-lite</t>
        </is>
      </c>
      <c r="S83" s="6" t="n">
        <v>15.8</v>
      </c>
      <c r="T83" s="7" t="n">
        <v>1</v>
      </c>
      <c r="U83" s="7" t="n">
        <v>1</v>
      </c>
      <c r="V83" s="6" t="inlineStr">
        <is>
          <t>Yes</t>
        </is>
      </c>
      <c r="W83" s="6" t="inlineStr">
        <is>
          <t>Yes</t>
        </is>
      </c>
      <c r="X83" s="6" t="inlineStr">
        <is>
          <t>PASS</t>
        </is>
      </c>
      <c r="Y83" s="6" t="inlineStr"/>
      <c r="Z83" s="6" t="inlineStr">
        <is>
          <t>PASS</t>
        </is>
      </c>
      <c r="AA83" s="6">
        <f>IF(Z83="",X83,Z83)</f>
        <v/>
      </c>
      <c r="AB83" s="6" t="n"/>
      <c r="AC83" s="6" t="inlineStr">
        <is>
          <t>[AI] Không chắc: định nghĩa đầu đúng (VBHN), nhưng kèm 3 định nghĩa từ luật khác dễ gây nhầm</t>
        </is>
      </c>
    </row>
    <row r="84">
      <c r="A84" s="6" t="inlineStr">
        <is>
          <t>LAW_E_003</t>
        </is>
      </c>
      <c r="B84" s="6" t="inlineStr">
        <is>
          <t>Direct Fact</t>
        </is>
      </c>
      <c r="C84" s="6" t="inlineStr">
        <is>
          <t>Độ tuổi lao động tối thiểu theo định nghĩa chung là bao nhiêu?</t>
        </is>
      </c>
      <c r="D84" s="6" t="inlineStr">
        <is>
          <t>Đủ 15 tuổi, trừ trường hợp được quy định riêng tại Mục 1 Chương XI.</t>
        </is>
      </c>
      <c r="E84" s="6" t="inlineStr">
        <is>
          <t>Căn cứ: phần “Điều 3”, trang 2. Nội dung được tài liệu xác nhận: Đủ 15 tuổi, trừ trường hợp được quy định riêng tại Mục 1 Chương XI.</t>
        </is>
      </c>
      <c r="F84" s="6" t="n">
        <v>2</v>
      </c>
      <c r="G84" s="6" t="inlineStr">
        <is>
          <t>Điều 3</t>
        </is>
      </c>
      <c r="H84" s="6" t="inlineStr">
        <is>
          <t>đủ 15 tuổi | ngoại lệ Chương XI</t>
        </is>
      </c>
      <c r="I84" s="6" t="inlineStr">
        <is>
          <t>Easy</t>
        </is>
      </c>
      <c r="J84" s="6" t="inlineStr">
        <is>
          <t>Single Chunk</t>
        </is>
      </c>
      <c r="K84" s="6" t="inlineStr">
        <is>
          <t>Yes</t>
        </is>
      </c>
      <c r="L84" s="6" t="inlineStr">
        <is>
          <t>Answer from document</t>
        </is>
      </c>
      <c r="M84" s="6" t="n"/>
      <c r="N84" s="6" t="inlineStr">
        <is>
          <t>Văn-bản-hợp-nhất-18-VBHN-VPQH</t>
        </is>
      </c>
      <c r="O84" s="6" t="inlineStr">
        <is>
          <t>Độ tuổi lao động tối thiểu của người lao động là đủ 15 tuổi, trừ trường hợp quy định tại Mục | Chương XI của Bộ luật này [SOURCE_1].</t>
        </is>
      </c>
      <c r="P84" s="6" t="inlineStr">
        <is>
          <t>[SOURCE_1] Văn-bản-hợp-nhất-18-VBHN-VPQH | tr.2 | Điều 3. Giai thích từ ngữ | 0.8727</t>
        </is>
      </c>
      <c r="Q84" s="6" t="inlineStr">
        <is>
          <t>[SOURCE_1] Văn-bản-hợp-nhất-18-VBHN-VPQH | tr.2 | Điều 3. Giai thích từ ngữ | 0.8727
[SOURCE_2] giao trinh Luat lao dong CB 2005 (1) | tr.16 | a) Người lao động | 0.7096</t>
        </is>
      </c>
      <c r="R84" s="6" t="inlineStr">
        <is>
          <t>gemini-3.5-flash-lite</t>
        </is>
      </c>
      <c r="S84" s="6" t="n">
        <v>15</v>
      </c>
      <c r="T84" s="7" t="n">
        <v>0.5</v>
      </c>
      <c r="U84" s="7" t="n">
        <v>0.9166666666666666</v>
      </c>
      <c r="V84" s="6" t="inlineStr">
        <is>
          <t>Yes</t>
        </is>
      </c>
      <c r="W84" s="6" t="inlineStr">
        <is>
          <t>Yes</t>
        </is>
      </c>
      <c r="X84" s="6" t="inlineStr">
        <is>
          <t>PARTIAL</t>
        </is>
      </c>
      <c r="Y84" s="6" t="inlineStr">
        <is>
          <t>Thiếu từ khóa (50%)</t>
        </is>
      </c>
      <c r="Z84" s="6" t="inlineStr">
        <is>
          <t>PASS</t>
        </is>
      </c>
      <c r="AA84" s="6">
        <f>IF(Z84="",X84,Z84)</f>
        <v/>
      </c>
      <c r="AB84" s="6" t="n"/>
      <c r="AC84" s="6" t="inlineStr">
        <is>
          <t>[AI] Đúng; scorer chấm thiếu từ khóa oan</t>
        </is>
      </c>
    </row>
    <row r="85">
      <c r="A85" s="6" t="inlineStr">
        <is>
          <t>LAW_E_004</t>
        </is>
      </c>
      <c r="B85" s="6" t="inlineStr">
        <is>
          <t>Definition</t>
        </is>
      </c>
      <c r="C85" s="6" t="inlineStr">
        <is>
          <t>Quan hệ lao động bao gồm những loại nào?</t>
        </is>
      </c>
      <c r="D85" s="6" t="inlineStr">
        <is>
          <t>Bao gồm quan hệ lao động cá nhân và quan hệ lao động tập thể.</t>
        </is>
      </c>
      <c r="E85" s="6" t="inlineStr">
        <is>
          <t>Căn cứ: phần “Điều 3”, trang None. Nội dung được tài liệu xác nhận: Bao gồm quan hệ lao động cá nhân và quan hệ lao động tập thể.</t>
        </is>
      </c>
      <c r="F85" s="6" t="n"/>
      <c r="G85" s="6" t="inlineStr">
        <is>
          <t>Điều 3</t>
        </is>
      </c>
      <c r="H85" s="6" t="inlineStr">
        <is>
          <t>cá nhân | tập thể</t>
        </is>
      </c>
      <c r="I85" s="6" t="inlineStr">
        <is>
          <t>Easy</t>
        </is>
      </c>
      <c r="J85" s="6" t="inlineStr">
        <is>
          <t>Single Chunk</t>
        </is>
      </c>
      <c r="K85" s="6" t="inlineStr">
        <is>
          <t>Yes</t>
        </is>
      </c>
      <c r="L85" s="6" t="inlineStr">
        <is>
          <t>Answer from document</t>
        </is>
      </c>
      <c r="M85" s="6" t="n"/>
      <c r="N85" s="6" t="inlineStr">
        <is>
          <t>Văn-bản-hợp-nhất-18-VBHN-VPQH</t>
        </is>
      </c>
      <c r="O85" s="6" t="inlineStr">
        <is>
          <t>Dựa trên tài liệu được cung cấp, quan hệ lao động bao gồm quan hệ lao động cá nhân và quan hệ lao động tập thể [SOURCE_2].</t>
        </is>
      </c>
      <c r="P85" s="6" t="inlineStr">
        <is>
          <t>[SOURCE_2] Văn-bản-hợp-nhất-18-VBHN-VPQH | tr.2 | Điều 3. Giai thích từ ngữ | 0.9832</t>
        </is>
      </c>
      <c r="Q85" s="6" t="inlineStr">
        <is>
          <t>[SOURCE_1] giao trinh Luat lao dong CB 2005 (1) | tr.4 | b - Các quan hệ liên quan đến quan hệ lao động | 0.9914
[SOURCE_2] Văn-bản-hợp-nhất-18-VBHN-VPQH | tr.2 | Điều 3. Giai thích từ ngữ | 0.9832
[SOURCE_3] giao trinh Luat lao dong CB 2005 (1) | tr.196 | d. Phân loại tranh chấp lao động &gt; · Căn cứ vào quy mô của t | 0.9675
[SOURCE_4] giao trinh Luat lao dong CB 2005 (1) | tr.3 | a - Quan hệ lao động | 0.9593
[SOURCE_5] giao trinh Luat lao dong CB 2005 (1) | tr.3 | a - Quan hệ lao động | 0.9532</t>
        </is>
      </c>
      <c r="R85" s="6" t="inlineStr">
        <is>
          <t>gemini-3.5-flash-lite</t>
        </is>
      </c>
      <c r="S85" s="6" t="n">
        <v>14.4</v>
      </c>
      <c r="T85" s="7" t="n">
        <v>1</v>
      </c>
      <c r="U85" s="7" t="n">
        <v>1</v>
      </c>
      <c r="V85" s="6" t="inlineStr">
        <is>
          <t>Yes</t>
        </is>
      </c>
      <c r="W85" s="6" t="inlineStr">
        <is>
          <t>n/a</t>
        </is>
      </c>
      <c r="X85" s="6" t="inlineStr">
        <is>
          <t>PASS</t>
        </is>
      </c>
      <c r="Y85" s="6" t="inlineStr"/>
      <c r="Z85" s="6" t="inlineStr">
        <is>
          <t>PASS</t>
        </is>
      </c>
      <c r="AA85" s="6">
        <f>IF(Z85="",X85,Z85)</f>
        <v/>
      </c>
      <c r="AB85" s="6" t="n"/>
      <c r="AC85" s="6" t="inlineStr">
        <is>
          <t>[AI] Đồng ý với chấm tự động</t>
        </is>
      </c>
    </row>
    <row r="86">
      <c r="A86" s="6" t="inlineStr">
        <is>
          <t>LAW_E_005</t>
        </is>
      </c>
      <c r="B86" s="6" t="inlineStr">
        <is>
          <t>Direct Fact</t>
        </is>
      </c>
      <c r="C86" s="6" t="inlineStr">
        <is>
          <t>NSDLĐ có được giữ bản chính giấy tờ tùy thân, văn bằng, chứng chỉ của NLĐ không?</t>
        </is>
      </c>
      <c r="D86" s="6" t="inlineStr">
        <is>
          <t>Không. Điều 17 cấm NSDLĐ giữ bản chính các giấy tờ này khi giao kết, thực hiện HĐLĐ.</t>
        </is>
      </c>
      <c r="E86" s="6" t="inlineStr">
        <is>
          <t>Căn cứ: phần “Điều 17”, trang 8. Nội dung được tài liệu xác nhận: Không. Điều 17 cấm NSDLĐ giữ bản chính các giấy tờ này khi giao kết, thực hiện HĐLĐ.</t>
        </is>
      </c>
      <c r="F86" s="6" t="n">
        <v>8</v>
      </c>
      <c r="G86" s="6" t="inlineStr">
        <is>
          <t>Điều 17</t>
        </is>
      </c>
      <c r="H86" s="6" t="inlineStr">
        <is>
          <t>cấm | bản chính | giấy tờ | văn bằng | chứng chỉ</t>
        </is>
      </c>
      <c r="I86" s="6" t="inlineStr">
        <is>
          <t>Easy</t>
        </is>
      </c>
      <c r="J86" s="6" t="inlineStr">
        <is>
          <t>Single Chunk</t>
        </is>
      </c>
      <c r="K86" s="6" t="inlineStr">
        <is>
          <t>Yes</t>
        </is>
      </c>
      <c r="L86" s="6" t="inlineStr">
        <is>
          <t>Answer from document</t>
        </is>
      </c>
      <c r="M86" s="6" t="n"/>
      <c r="N86" s="6" t="inlineStr">
        <is>
          <t>Văn-bản-hợp-nhất-18-VBHN-VPQH</t>
        </is>
      </c>
      <c r="O86" s="6" t="inlineStr">
        <is>
          <t>Người sử dụng lao động không được phép giữ bản chính giấy tờ tùy thân, văn bằng, chứng chỉ của người lao động khi giao kết, thực hiện hợp đồng lao động [SOURCE_1]. Đây là một trong những hành vi bị pháp luật nghiêm cấm [SOURCE_1], [SOURCE_4].</t>
        </is>
      </c>
      <c r="P86" s="6" t="inlineStr">
        <is>
          <t>[SOURCE_1] Văn-bản-hợp-nhất-18-VBHN-VPQH | tr.8 | Điều 17. Hành vi người sử dung lao động không được làm khi g | 0.8688
[SOURCE_4] so-tay-kien-thuc-phap-luat-lao-dong-cdi | tr.49 | Trả lời: | 0.7323</t>
        </is>
      </c>
      <c r="Q86" s="6" t="inlineStr">
        <is>
          <t>[SOURCE_1] Văn-bản-hợp-nhất-18-VBHN-VPQH | tr.8 | Điều 17. Hành vi người sử dung lao động không được làm khi g | 0.8688
[SOURCE_2] luu-ban-nhap-tu-dong-3-4 | tr.455 | Điều 5. Vi phạm quy định về giao kết hợp đồng lao động5 | 0.8781
[SOURCE_3] ILO-VCCI_Labour-Law-Guide-Book-V04-Final | tr.43 | V. TRÁCH NHIỆM CỦA NSDLĐ KHI CHẤM DỨT HĐLĐ &gt; 1. Trách nhiệm  | 0.7964
[SOURCE_4] so-tay-kien-thuc-phap-luat-lao-dong-cdi | tr.49 | Trả lời: | 0.7323
[SOURCE_5] ILO-VCCI_Labour-Law-Guide-Book-V04-Final | tr.29 | (c) NLĐ cung cấp không trung thực thông tin theo quy định tạ | 0.4655</t>
        </is>
      </c>
      <c r="R86" s="6" t="inlineStr">
        <is>
          <t>gemini-3.5-flash-lite</t>
        </is>
      </c>
      <c r="S86" s="6" t="n">
        <v>17</v>
      </c>
      <c r="T86" s="7" t="n">
        <v>1</v>
      </c>
      <c r="U86" s="7" t="n">
        <v>0.9047619047619048</v>
      </c>
      <c r="V86" s="6" t="inlineStr">
        <is>
          <t>Yes</t>
        </is>
      </c>
      <c r="W86" s="6" t="inlineStr">
        <is>
          <t>Yes</t>
        </is>
      </c>
      <c r="X86" s="6" t="inlineStr">
        <is>
          <t>PASS</t>
        </is>
      </c>
      <c r="Y86" s="6" t="inlineStr"/>
      <c r="Z86" s="6" t="inlineStr">
        <is>
          <t>PASS</t>
        </is>
      </c>
      <c r="AA86" s="6">
        <f>IF(Z86="",X86,Z86)</f>
        <v/>
      </c>
      <c r="AB86" s="6" t="n"/>
      <c r="AC86" s="6" t="inlineStr">
        <is>
          <t>[AI] Đồng ý với chấm tự động</t>
        </is>
      </c>
    </row>
    <row r="87">
      <c r="A87" s="6" t="inlineStr">
        <is>
          <t>LAW_E_006</t>
        </is>
      </c>
      <c r="B87" s="6" t="inlineStr">
        <is>
          <t>Direct Fact</t>
        </is>
      </c>
      <c r="C87" s="6" t="inlineStr">
        <is>
          <t>HĐLĐ xác định thời hạn tối đa bao nhiêu tháng theo Điều 20?</t>
        </is>
      </c>
      <c r="D87" s="6" t="inlineStr">
        <is>
          <t>Không quá 36 tháng kể từ thời điểm có hiệu lực của hợp đồng.</t>
        </is>
      </c>
      <c r="E87" s="6" t="inlineStr">
        <is>
          <t>Căn cứ: phần “Điều 20”, trang None. Nội dung được tài liệu xác nhận: Không quá 36 tháng kể từ thời điểm có hiệu lực của hợp đồng.</t>
        </is>
      </c>
      <c r="F87" s="6" t="n"/>
      <c r="G87" s="6" t="inlineStr">
        <is>
          <t>Điều 20</t>
        </is>
      </c>
      <c r="H87" s="6" t="inlineStr">
        <is>
          <t>36 tháng | HĐLĐ xác định thời hạn</t>
        </is>
      </c>
      <c r="I87" s="6" t="inlineStr">
        <is>
          <t>Easy</t>
        </is>
      </c>
      <c r="J87" s="6" t="inlineStr">
        <is>
          <t>Single Chunk</t>
        </is>
      </c>
      <c r="K87" s="6" t="inlineStr">
        <is>
          <t>Yes</t>
        </is>
      </c>
      <c r="L87" s="6" t="inlineStr">
        <is>
          <t>Answer from document</t>
        </is>
      </c>
      <c r="M87" s="6" t="n"/>
      <c r="N87" s="6" t="inlineStr">
        <is>
          <t>Văn-bản-hợp-nhất-18-VBHN-VPQH</t>
        </is>
      </c>
      <c r="O87" s="6" t="inlineStr">
        <is>
          <t>Theo Điều 20 Bộ luật Lao động 2019, hợp đồng lao động xác định thời hạn có thời hạn tối đa không quá 36 tháng [SOURCE_1], [SOURCE_2].</t>
        </is>
      </c>
      <c r="P87" s="6" t="inlineStr">
        <is>
          <t>[SOURCE_1] ILO-VCCI_Labour-Law-Guide-Book-V04-Final | tr.15 | III. HỢP ĐỒNG LAO ĐỘNG &gt; 1. Các loại HĐLĐ | 0.9904
[SOURCE_2] Văn-bản-hợp-nhất-18-VBHN-VPQH | tr.9 | Điều 20. Loại hợp đồng lao động | 0.9774</t>
        </is>
      </c>
      <c r="Q87" s="6" t="inlineStr">
        <is>
          <t>[SOURCE_1] ILO-VCCI_Labour-Law-Guide-Book-V04-Final | tr.15 | III. HỢP ĐỒNG LAO ĐỘNG &gt; 1. Các loại HĐLĐ | 0.9904
[SOURCE_2] Văn-bản-hợp-nhất-18-VBHN-VPQH | tr.9 | Điều 20. Loại hợp đồng lao động | 0.9774
[SOURCE_3] ILO-VCCI_Labour-Law-Guide-Book-V04-Final | tr.28 | (a) Các trường hợp đơn phương chấm dứt HĐLĐ phải thông báo t | 0.9164
[SOURCE_4] ILO-VCCI_Labour-Law-Guide-Book-V04-Final | tr.30 | 1. Các trường hợp đơn phương chấm dứt HĐLĐ phải thông báo tr | 0.8942
[SOURCE_5] ILO-VCCI_Labour-Law-Guide-Book-V04-Final | tr.27 | (a) Các trường hợp đơn phương chấm dứt HĐLĐ phải thông báo t | 0.7971</t>
        </is>
      </c>
      <c r="R87" s="6" t="inlineStr">
        <is>
          <t>gemini-3.5-flash-lite</t>
        </is>
      </c>
      <c r="S87" s="6" t="n">
        <v>19.3</v>
      </c>
      <c r="T87" s="7" t="n">
        <v>1</v>
      </c>
      <c r="U87" s="7" t="n">
        <v>0.6</v>
      </c>
      <c r="V87" s="6" t="inlineStr">
        <is>
          <t>Yes</t>
        </is>
      </c>
      <c r="W87" s="6" t="inlineStr">
        <is>
          <t>n/a</t>
        </is>
      </c>
      <c r="X87" s="6" t="inlineStr">
        <is>
          <t>PASS</t>
        </is>
      </c>
      <c r="Y87" s="6" t="inlineStr"/>
      <c r="Z87" s="6" t="inlineStr">
        <is>
          <t>PASS</t>
        </is>
      </c>
      <c r="AA87" s="6">
        <f>IF(Z87="",X87,Z87)</f>
        <v/>
      </c>
      <c r="AB87" s="6" t="n"/>
      <c r="AC87" s="6" t="inlineStr">
        <is>
          <t>[AI] Đồng ý với chấm tự động</t>
        </is>
      </c>
    </row>
    <row r="88">
      <c r="A88" s="6" t="inlineStr">
        <is>
          <t>LAW_E_007</t>
        </is>
      </c>
      <c r="B88" s="6" t="inlineStr">
        <is>
          <t>Direct Fact</t>
        </is>
      </c>
      <c r="C88" s="6" t="inlineStr">
        <is>
          <t>Có áp dụng thử việc với HĐLĐ dưới 01 tháng không?</t>
        </is>
      </c>
      <c r="D88" s="6" t="inlineStr">
        <is>
          <t>Không. Điều 24 quy định không áp dụng thử việc với NLĐ giao kết HĐLĐ có thời hạn dưới 01 tháng.</t>
        </is>
      </c>
      <c r="E88" s="6" t="inlineStr">
        <is>
          <t>Căn cứ: phần “Điều 24”, trang 11. Nội dung được tài liệu xác nhận: Không. Điều 24 quy định không áp dụng thử việc với NLĐ giao kết HĐLĐ có thời hạn dưới 01 tháng.</t>
        </is>
      </c>
      <c r="F88" s="6" t="n">
        <v>11</v>
      </c>
      <c r="G88" s="6" t="inlineStr">
        <is>
          <t>Điều 24</t>
        </is>
      </c>
      <c r="H88" s="6" t="inlineStr">
        <is>
          <t>không thử việc | dưới 01 tháng</t>
        </is>
      </c>
      <c r="I88" s="6" t="inlineStr">
        <is>
          <t>Easy</t>
        </is>
      </c>
      <c r="J88" s="6" t="inlineStr">
        <is>
          <t>Single Chunk</t>
        </is>
      </c>
      <c r="K88" s="6" t="inlineStr">
        <is>
          <t>Yes</t>
        </is>
      </c>
      <c r="L88" s="6" t="inlineStr">
        <is>
          <t>Answer from document</t>
        </is>
      </c>
      <c r="M88" s="6" t="n"/>
      <c r="N88" s="6" t="inlineStr">
        <is>
          <t>Văn-bản-hợp-nhất-18-VBHN-VPQH</t>
        </is>
      </c>
      <c r="O88" s="6" t="inlineStr">
        <is>
          <t>Không áp dụng thử việc đối với người lao động giao kết hợp đồng lao động có thời hạn dưới 01 tháng [SOURCE_1], [SOURCE_2].</t>
        </is>
      </c>
      <c r="P88" s="6" t="inlineStr">
        <is>
          <t>[SOURCE_1] ILO-VCCI_Labour-Law-Guide-Book-V04-Final | tr.13 | 2. Trường hợp không áp dụng thử việc | 0.9967
[SOURCE_2] Văn-bản-hợp-nhất-18-VBHN-VPQH | tr.11 | Điều 24. Thử việc | 0.995</t>
        </is>
      </c>
      <c r="Q88" s="6" t="inlineStr">
        <is>
          <t>[SOURCE_1] ILO-VCCI_Labour-Law-Guide-Book-V04-Final | tr.13 | 2. Trường hợp không áp dụng thử việc | 0.9967
[SOURCE_2] Văn-bản-hợp-nhất-18-VBHN-VPQH | tr.11 | Điều 24. Thử việc | 0.995
[SOURCE_3] ILO-VCCI_Labour-Law-Guide-Book-V04-Final | tr.12 | II. THỬ VIỆC &gt; 1. Thời hạn thử việc | 0.5108
[SOURCE_4] ILO-VCCI_Labour-Law-Guide-Book-V04-Final | tr.14 | 3. Hình thức của thỏa thuận thử việc | 0.4038
[SOURCE_5] giao trinh Luat lao dong CB 2005 (1) | tr.43 | · Cho người lao động | 0.4031</t>
        </is>
      </c>
      <c r="R88" s="6" t="inlineStr">
        <is>
          <t>gemini-3.5-flash-lite</t>
        </is>
      </c>
      <c r="S88" s="6" t="n">
        <v>15.7</v>
      </c>
      <c r="T88" s="7" t="n">
        <v>1</v>
      </c>
      <c r="U88" s="7" t="n">
        <v>0.8181818181818182</v>
      </c>
      <c r="V88" s="6" t="inlineStr">
        <is>
          <t>Yes</t>
        </is>
      </c>
      <c r="W88" s="6" t="inlineStr">
        <is>
          <t>Yes</t>
        </is>
      </c>
      <c r="X88" s="6" t="inlineStr">
        <is>
          <t>PASS</t>
        </is>
      </c>
      <c r="Y88" s="6" t="inlineStr"/>
      <c r="Z88" s="6" t="inlineStr">
        <is>
          <t>PASS</t>
        </is>
      </c>
      <c r="AA88" s="6">
        <f>IF(Z88="",X88,Z88)</f>
        <v/>
      </c>
      <c r="AB88" s="6" t="n"/>
      <c r="AC88" s="6" t="inlineStr">
        <is>
          <t>[AI] Đồng ý với chấm tự động</t>
        </is>
      </c>
    </row>
    <row r="89">
      <c r="A89" s="6" t="inlineStr">
        <is>
          <t>LAW_E_008</t>
        </is>
      </c>
      <c r="B89" s="6" t="inlineStr">
        <is>
          <t>Rule</t>
        </is>
      </c>
      <c r="C89" s="6" t="inlineStr">
        <is>
          <t>Thời gian thử việc tối đa đối với người quản lý doanh nghiệp là bao lâu?</t>
        </is>
      </c>
      <c r="D89" s="6" t="inlineStr">
        <is>
          <t>Không quá 180 ngày.</t>
        </is>
      </c>
      <c r="E89" s="6" t="inlineStr">
        <is>
          <t>Căn cứ: phần “Điều 25”, trang 11. Nội dung được tài liệu xác nhận: Không quá 180 ngày.</t>
        </is>
      </c>
      <c r="F89" s="6" t="n">
        <v>11</v>
      </c>
      <c r="G89" s="6" t="inlineStr">
        <is>
          <t>Điều 25</t>
        </is>
      </c>
      <c r="H89" s="6" t="inlineStr">
        <is>
          <t>180 ngày | quản lý doanh nghiệp</t>
        </is>
      </c>
      <c r="I89" s="6" t="inlineStr">
        <is>
          <t>Medium</t>
        </is>
      </c>
      <c r="J89" s="6" t="inlineStr">
        <is>
          <t>Single Chunk</t>
        </is>
      </c>
      <c r="K89" s="6" t="inlineStr">
        <is>
          <t>Yes</t>
        </is>
      </c>
      <c r="L89" s="6" t="inlineStr">
        <is>
          <t>Answer from document</t>
        </is>
      </c>
      <c r="M89" s="6" t="n"/>
      <c r="N89" s="6" t="inlineStr">
        <is>
          <t>Văn-bản-hợp-nhất-18-VBHN-VPQH</t>
        </is>
      </c>
      <c r="O89" s="6" t="inlineStr">
        <is>
          <t>Thời gian thử việc tối đa đối với công việc của người quản lý doanh nghiệp là không quá 180 ngày [SOURCE_1], [SOURCE_2], [SOURCE_3].</t>
        </is>
      </c>
      <c r="P89" s="6" t="inlineStr">
        <is>
          <t>[SOURCE_1] ILO-VCCI_Labour-Law-Guide-Book-V04-Final | tr.12 | II. THỬ VIỆC &gt; 1. Thời hạn thử việc | 0.998
[SOURCE_2] ILO-VCCI_Labour-Law-Guide-Book-V04-Final | tr.12 | II. THỬ VIỆC &gt; 1. Thời hạn thử việc | 0.9963
[SOURCE_3] Văn-bản-hợp-nhất-18-VBHN-VPQH | tr.11 | Điều 25. Thời gian thử việc | 0.9916</t>
        </is>
      </c>
      <c r="Q89" s="6" t="inlineStr">
        <is>
          <t>[SOURCE_1] ILO-VCCI_Labour-Law-Guide-Book-V04-Final | tr.12 | II. THỬ VIỆC &gt; 1. Thời hạn thử việc | 0.998
[SOURCE_2] ILO-VCCI_Labour-Law-Guide-Book-V04-Final | tr.12 | II. THỬ VIỆC &gt; 1. Thời hạn thử việc | 0.9963
[SOURCE_3] Văn-bản-hợp-nhất-18-VBHN-VPQH | tr.11 | Điều 25. Thời gian thử việc | 0.9916
[SOURCE_4] ILO-VCCI_Labour-Law-Guide-Book-V04-Final | tr.13 | II. THỬ VIỆC &gt; 1. Thời hạn thử việc | 0.9294
[SOURCE_5] luu-ban-nhap-tu-dong-3-4 | tr.412 | Điều 8. Nguyên tắc xây dựng định mức lao động | 0.7964</t>
        </is>
      </c>
      <c r="R89" s="6" t="inlineStr">
        <is>
          <t>gemini-3.5-flash-lite</t>
        </is>
      </c>
      <c r="S89" s="6" t="n">
        <v>12.5</v>
      </c>
      <c r="T89" s="7" t="n">
        <v>1</v>
      </c>
      <c r="U89" s="7" t="n">
        <v>1</v>
      </c>
      <c r="V89" s="6" t="inlineStr">
        <is>
          <t>Yes</t>
        </is>
      </c>
      <c r="W89" s="6" t="inlineStr">
        <is>
          <t>Yes</t>
        </is>
      </c>
      <c r="X89" s="6" t="inlineStr">
        <is>
          <t>PASS</t>
        </is>
      </c>
      <c r="Y89" s="6" t="inlineStr"/>
      <c r="Z89" s="6" t="inlineStr">
        <is>
          <t>PASS</t>
        </is>
      </c>
      <c r="AA89" s="6">
        <f>IF(Z89="",X89,Z89)</f>
        <v/>
      </c>
      <c r="AB89" s="6" t="n"/>
      <c r="AC89" s="6" t="inlineStr">
        <is>
          <t>[AI] Đồng ý với chấm tự động</t>
        </is>
      </c>
    </row>
    <row r="90">
      <c r="A90" s="6" t="inlineStr">
        <is>
          <t>LAW_E_009</t>
        </is>
      </c>
      <c r="B90" s="6" t="inlineStr">
        <is>
          <t>Rule</t>
        </is>
      </c>
      <c r="C90" s="6" t="inlineStr">
        <is>
          <t>Khi tạm thời chuyển NLĐ làm công việc khác so với HĐLĐ, thời gian tối đa thông thường là bao nhiêu?</t>
        </is>
      </c>
      <c r="D90" s="6" t="inlineStr">
        <is>
          <t>Không quá 60 ngày làm việc cộng dồn trong 01 năm, trừ trường hợp NLĐ đồng ý bằng văn bản cho thời gian dài hơn.</t>
        </is>
      </c>
      <c r="E90" s="6" t="inlineStr">
        <is>
          <t>Căn cứ: phần “Điều 29”, trang 12. Nội dung được tài liệu xác nhận: Không quá 60 ngày làm việc cộng dồn trong 01 năm, trừ trường hợp NLĐ đồng ý bằng văn bản cho thời gian dài hơn.</t>
        </is>
      </c>
      <c r="F90" s="6" t="n">
        <v>12</v>
      </c>
      <c r="G90" s="6" t="inlineStr">
        <is>
          <t>Điều 29</t>
        </is>
      </c>
      <c r="H90" s="6" t="inlineStr">
        <is>
          <t>60 ngày | cộng dồn | 01 năm</t>
        </is>
      </c>
      <c r="I90" s="6" t="inlineStr">
        <is>
          <t>Medium</t>
        </is>
      </c>
      <c r="J90" s="6" t="inlineStr">
        <is>
          <t>Single Chunk</t>
        </is>
      </c>
      <c r="K90" s="6" t="inlineStr">
        <is>
          <t>Yes</t>
        </is>
      </c>
      <c r="L90" s="6" t="inlineStr">
        <is>
          <t>Answer from document</t>
        </is>
      </c>
      <c r="M90" s="6" t="n"/>
      <c r="N90" s="6" t="inlineStr">
        <is>
          <t>Văn-bản-hợp-nhất-18-VBHN-VPQH</t>
        </is>
      </c>
      <c r="O90" s="6" t="inlineStr">
        <is>
          <t>Khi tạm thời chuyển người lao động làm công việc khác so với hợp đồng lao động, thời gian tối đa thông thường là không được quá 60 ngày làm việc cộng dồn trong một năm (trừ trường hợp được sự đồng ý của người lao động) [SOURCE_1], [SOURCE_4].</t>
        </is>
      </c>
      <c r="P90" s="6" t="inlineStr">
        <is>
          <t>[SOURCE_1] ILO-VCCI_Labour-Law-Guide-Book-V04-Final | tr.47 | (b) Các vấn đề cần lưu ý | 0.9957
[SOURCE_4] luu-ban-nhap-tu-dong-3-4 | tr.78 | Điều 31. Chuyển người lao động làm công việc khác so với hợp | 0.9904</t>
        </is>
      </c>
      <c r="Q90" s="6" t="inlineStr">
        <is>
          <t>[SOURCE_1] ILO-VCCI_Labour-Law-Guide-Book-V04-Final | tr.47 | (b) Các vấn đề cần lưu ý | 0.9957
[SOURCE_2] Văn-bản-hợp-nhất-18-VBHN-VPQH | tr.12 | Điều 29. Ch uyễn người lao động làm công việc khác so với hợ | 0.9819
[SOURCE_3] luu-ban-nhap-tu-dong-3-4 | tr.418 | Mục 2: THỰC HIỆN HỢP ĐỒNG LAO ĐỘNG &gt; Điều 8. Tạm thời chuyển | 0.9911
[SOURCE_4] luu-ban-nhap-tu-dong-3-4 | tr.78 | Điều 31. Chuyển người lao động làm công việc khác so với hợp | 0.9904</t>
        </is>
      </c>
      <c r="R90" s="6" t="inlineStr">
        <is>
          <t>gemini-3.5-flash-lite</t>
        </is>
      </c>
      <c r="S90" s="6" t="n">
        <v>13.4</v>
      </c>
      <c r="T90" s="7" t="n">
        <v>0.6666666666666666</v>
      </c>
      <c r="U90" s="7" t="n">
        <v>0.7391304347826086</v>
      </c>
      <c r="V90" s="6" t="inlineStr">
        <is>
          <t>No</t>
        </is>
      </c>
      <c r="W90" s="6" t="inlineStr">
        <is>
          <t>No</t>
        </is>
      </c>
      <c r="X90" s="6" t="inlineStr">
        <is>
          <t>PARTIAL</t>
        </is>
      </c>
      <c r="Y90" s="6" t="inlineStr">
        <is>
          <t>Thiếu từ khóa (67%); Không trích tài liệu mong đợi (có trong ngữ cảnh); Không trích đúng trang 12 (±1)</t>
        </is>
      </c>
      <c r="Z90" s="6" t="inlineStr">
        <is>
          <t>PARTIAL</t>
        </is>
      </c>
      <c r="AA90" s="6">
        <f>IF(Z90="",X90,Z90)</f>
        <v/>
      </c>
      <c r="AB90" s="6" t="inlineStr">
        <is>
          <t>DEF-06</t>
        </is>
      </c>
      <c r="AC90" s="6" t="inlineStr">
        <is>
          <t>[AI] Nội dung đúng (60 ngày cộng dồn); trích ILO và bộ tổng hợp, không trích VBHN dù có trong ngữ cảnh</t>
        </is>
      </c>
    </row>
    <row r="91">
      <c r="A91" s="6" t="inlineStr">
        <is>
          <t>LAW_E_010</t>
        </is>
      </c>
      <c r="B91" s="6" t="inlineStr">
        <is>
          <t>Rule</t>
        </is>
      </c>
      <c r="C91" s="6" t="inlineStr">
        <is>
          <t>NLĐ làm HĐLĐ không xác định thời hạn muốn đơn phương chấm dứt hợp đồng thông thường phải báo trước bao lâu?</t>
        </is>
      </c>
      <c r="D91" s="6" t="inlineStr">
        <is>
          <t>Ít nhất 45 ngày, trừ các trường hợp luật cho phép không cần báo trước hoặc ngành/nghề đặc thù có quy định riêng.</t>
        </is>
      </c>
      <c r="E91" s="6" t="inlineStr">
        <is>
          <t>Căn cứ: phần “Điều 35”, trang 15. Nội dung được tài liệu xác nhận: Ít nhất 45 ngày, trừ các trường hợp luật cho phép không cần báo trước hoặc ngành/nghề đặc thù có quy định riêng.</t>
        </is>
      </c>
      <c r="F91" s="6" t="n">
        <v>15</v>
      </c>
      <c r="G91" s="6" t="inlineStr">
        <is>
          <t>Điều 35</t>
        </is>
      </c>
      <c r="H91" s="6" t="inlineStr">
        <is>
          <t>45 ngày | không xác định thời hạn | báo trước</t>
        </is>
      </c>
      <c r="I91" s="6" t="inlineStr">
        <is>
          <t>Medium</t>
        </is>
      </c>
      <c r="J91" s="6" t="inlineStr">
        <is>
          <t>Single Chunk</t>
        </is>
      </c>
      <c r="K91" s="6" t="inlineStr">
        <is>
          <t>Yes</t>
        </is>
      </c>
      <c r="L91" s="6" t="inlineStr">
        <is>
          <t>Answer from document</t>
        </is>
      </c>
      <c r="M91" s="6" t="n"/>
      <c r="N91" s="6" t="inlineStr">
        <is>
          <t>Văn-bản-hợp-nhất-18-VBHN-VPQH</t>
        </is>
      </c>
      <c r="O91" s="6" t="inlineStr">
        <is>
          <t>Theo quy định, người lao động làm việc theo hợp đồng lao động không xác định thời hạn khi đơn phương chấm dứt hợp đồng lao động thông thường phải báo trước ít nhất 45 (bốn mươi lăm) ngày [SOURCE_3].</t>
        </is>
      </c>
      <c r="P91" s="6" t="inlineStr">
        <is>
          <t>[SOURCE_3] ILO-VCCI_Labour-Law-Guide-Book-V04-Final | tr.30 | 1. Các trường hợp đơn phương chấm dứt HĐLĐ phải thông báo tr | 0.9969</t>
        </is>
      </c>
      <c r="Q91" s="6" t="inlineStr">
        <is>
          <t>[SOURCE_1] ILO-VCCI_Labour-Law-Guide-Book-V04-Final | tr.32 | 3. Những điểm mới liên quan đến việc NLĐ đơn phương chấm dứt | 0.9982
[SOURCE_2] ILO-VCCI_Labour-Law-Guide-Book-V04-Final | tr.27 | (a) Các trường hợp đơn phương chấm dứt HĐLĐ phải thông báo t | 0.9978
[SOURCE_3] ILO-VCCI_Labour-Law-Guide-Book-V04-Final | tr.30 | 1. Các trường hợp đơn phương chấm dứt HĐLĐ phải thông báo tr | 0.9969
[SOURCE_4] ILO-VCCI_Labour-Law-Guide-Book-V04-Final | tr.36 | 3. Những điểm mới cần lưu ý khi thực hiện quy trình cho thôi | 0.9949
[SOURCE_5] ILO-VCCI_Labour-Law-Guide-Book-V04-Final | tr.27 | (a) Các trường hợp đơn phương chấm dứt HĐLĐ phải thông báo t | 0.9935</t>
        </is>
      </c>
      <c r="R91" s="6" t="inlineStr">
        <is>
          <t>gemini-3.5-flash-lite</t>
        </is>
      </c>
      <c r="S91" s="6" t="n">
        <v>15.6</v>
      </c>
      <c r="T91" s="7" t="n">
        <v>1</v>
      </c>
      <c r="U91" s="7" t="n">
        <v>0.4736842105263158</v>
      </c>
      <c r="V91" s="6" t="inlineStr">
        <is>
          <t>No</t>
        </is>
      </c>
      <c r="W91" s="6" t="inlineStr">
        <is>
          <t>No</t>
        </is>
      </c>
      <c r="X91" s="6" t="inlineStr">
        <is>
          <t>PARTIAL</t>
        </is>
      </c>
      <c r="Y91" s="6" t="inlineStr">
        <is>
          <t>Ít khớp Expected Answer (47%); Không trích tài liệu mong đợi (không có trong ngữ cảnh); Không trích đúng trang 15 (±1)</t>
        </is>
      </c>
      <c r="Z91" s="6" t="inlineStr">
        <is>
          <t>PARTIAL</t>
        </is>
      </c>
      <c r="AA91" s="6">
        <f>IF(Z91="",X91,Z91)</f>
        <v/>
      </c>
      <c r="AB91" s="6" t="inlineStr">
        <is>
          <t>DEF-06</t>
        </is>
      </c>
      <c r="AC91" s="6" t="inlineStr">
        <is>
          <t>[AI] Nội dung đúng (45 ngày); trích cẩm nang ILO thay vì VBHN</t>
        </is>
      </c>
    </row>
    <row r="92">
      <c r="A92" s="6" t="inlineStr">
        <is>
          <t>LAW_E_011</t>
        </is>
      </c>
      <c r="B92" s="6" t="inlineStr">
        <is>
          <t>Rule</t>
        </is>
      </c>
      <c r="C92" s="6" t="inlineStr">
        <is>
          <t>NLĐ làm HĐLĐ xác định thời hạn từ 12 đến 36 tháng muốn nghỉ thông thường phải báo trước bao lâu?</t>
        </is>
      </c>
      <c r="D92" s="6" t="inlineStr">
        <is>
          <t>Ít nhất 30 ngày.</t>
        </is>
      </c>
      <c r="E92" s="6" t="inlineStr">
        <is>
          <t>Căn cứ: phần “Điều 35”, trang 15. Nội dung được tài liệu xác nhận: Ít nhất 30 ngày.</t>
        </is>
      </c>
      <c r="F92" s="6" t="n">
        <v>15</v>
      </c>
      <c r="G92" s="6" t="inlineStr">
        <is>
          <t>Điều 35</t>
        </is>
      </c>
      <c r="H92" s="6" t="inlineStr">
        <is>
          <t>30 ngày | 12-36 tháng | báo trước</t>
        </is>
      </c>
      <c r="I92" s="6" t="inlineStr">
        <is>
          <t>Medium</t>
        </is>
      </c>
      <c r="J92" s="6" t="inlineStr">
        <is>
          <t>Single Chunk</t>
        </is>
      </c>
      <c r="K92" s="6" t="inlineStr">
        <is>
          <t>Yes</t>
        </is>
      </c>
      <c r="L92" s="6" t="inlineStr">
        <is>
          <t>Answer from document</t>
        </is>
      </c>
      <c r="M92" s="6" t="n"/>
      <c r="N92" s="6" t="inlineStr">
        <is>
          <t>Văn-bản-hợp-nhất-18-VBHN-VPQH</t>
        </is>
      </c>
      <c r="O92" s="6" t="inlineStr">
        <is>
          <t>Người lao động (NLĐ) làm việc theo hợp đồng lao động (HĐLĐ) xác định thời hạn có thời hạn từ 12 (mười hai) đến 36 (ba mươi sáu) tháng khi đơn phương chấm dứt hợp đồng thông thường phải báo trước ít nhất 30 (ba mươi) ngày [SOURCE_1], [SOURCE_2], [SOURCE_3].</t>
        </is>
      </c>
      <c r="P92" s="6" t="inlineStr">
        <is>
          <t>[SOURCE_1] ILO-VCCI_Labour-Law-Guide-Book-V04-Final | tr.28 | (a) Các trường hợp đơn phương chấm dứt HĐLĐ phải thông báo t | 0.9968
[SOURCE_2] ILO-VCCI_Labour-Law-Guide-Book-V04-Final | tr.27 | (a) Các trường hợp đơn phương chấm dứt HĐLĐ phải thông báo t | 0.9949
[SOURCE_3] ILO-VCCI_Labour-Law-Guide-Book-V04-Final | tr.30 | 1. Các trường hợp đơn phương chấm dứt HĐLĐ phải thông báo tr | 0.9942</t>
        </is>
      </c>
      <c r="Q92" s="6" t="inlineStr">
        <is>
          <t>[SOURCE_1] ILO-VCCI_Labour-Law-Guide-Book-V04-Final | tr.28 | (a) Các trường hợp đơn phương chấm dứt HĐLĐ phải thông báo t | 0.9968
[SOURCE_2] ILO-VCCI_Labour-Law-Guide-Book-V04-Final | tr.27 | (a) Các trường hợp đơn phương chấm dứt HĐLĐ phải thông báo t | 0.9949
[SOURCE_3] ILO-VCCI_Labour-Law-Guide-Book-V04-Final | tr.30 | 1. Các trường hợp đơn phương chấm dứt HĐLĐ phải thông báo tr | 0.9942
[SOURCE_4] ILO-VCCI_Labour-Law-Guide-Book-V04-Final | tr.32 | 3. Những điểm mới liên quan đến việc NLĐ đơn phương chấm dứt | 0.9904
[SOURCE_5] giao trinh Luat lao dong CB 2005 (1) | tr.41 | * Thời hạn báo trước: | 0.9849</t>
        </is>
      </c>
      <c r="R92" s="6" t="inlineStr">
        <is>
          <t>gemini-3.5-flash-lite</t>
        </is>
      </c>
      <c r="S92" s="6" t="n">
        <v>13.2</v>
      </c>
      <c r="T92" s="7" t="n">
        <v>1</v>
      </c>
      <c r="U92" s="7" t="n">
        <v>1</v>
      </c>
      <c r="V92" s="6" t="inlineStr">
        <is>
          <t>No</t>
        </is>
      </c>
      <c r="W92" s="6" t="inlineStr">
        <is>
          <t>No</t>
        </is>
      </c>
      <c r="X92" s="6" t="inlineStr">
        <is>
          <t>PARTIAL</t>
        </is>
      </c>
      <c r="Y92" s="6" t="inlineStr">
        <is>
          <t>Không trích tài liệu mong đợi (không có trong ngữ cảnh); Không trích đúng trang 15 (±1)</t>
        </is>
      </c>
      <c r="Z92" s="6" t="inlineStr">
        <is>
          <t>PARTIAL</t>
        </is>
      </c>
      <c r="AA92" s="6">
        <f>IF(Z92="",X92,Z92)</f>
        <v/>
      </c>
      <c r="AB92" s="6" t="inlineStr">
        <is>
          <t>DEF-06</t>
        </is>
      </c>
      <c r="AC92" s="6" t="inlineStr">
        <is>
          <t>[AI] Nội dung đúng (30 ngày); trích cẩm nang ILO thay vì VBHN</t>
        </is>
      </c>
    </row>
    <row r="93">
      <c r="A93" s="6" t="inlineStr">
        <is>
          <t>LAW_E_012</t>
        </is>
      </c>
      <c r="B93" s="6" t="inlineStr">
        <is>
          <t>Rule</t>
        </is>
      </c>
      <c r="C93" s="6" t="inlineStr">
        <is>
          <t>Trợ cấp thôi việc được tính theo mức nào cho mỗi năm làm việc đủ điều kiện?</t>
        </is>
      </c>
      <c r="D93" s="6" t="inlineStr">
        <is>
          <t>Mỗi năm làm việc được trợ cấp một nửa tháng tiền lương, theo điều kiện và cách xác định thời gian của Điều 46.</t>
        </is>
      </c>
      <c r="E93" s="6" t="inlineStr">
        <is>
          <t>Căn cứ: phần “Điều 46”, trang 20. Nội dung được tài liệu xác nhận: Mỗi năm làm việc được trợ cấp một nửa tháng tiền lương, theo điều kiện và cách xác định thời gian của Điều 46.</t>
        </is>
      </c>
      <c r="F93" s="6" t="n">
        <v>20</v>
      </c>
      <c r="G93" s="6" t="inlineStr">
        <is>
          <t>Điều 46</t>
        </is>
      </c>
      <c r="H93" s="6" t="inlineStr">
        <is>
          <t>0,5 tháng lương | mỗi năm | trợ cấp thôi việc</t>
        </is>
      </c>
      <c r="I93" s="6" t="inlineStr">
        <is>
          <t>Medium</t>
        </is>
      </c>
      <c r="J93" s="6" t="inlineStr">
        <is>
          <t>Single Chunk</t>
        </is>
      </c>
      <c r="K93" s="6" t="inlineStr">
        <is>
          <t>Yes</t>
        </is>
      </c>
      <c r="L93" s="6" t="inlineStr">
        <is>
          <t>Answer from document</t>
        </is>
      </c>
      <c r="M93" s="6" t="n"/>
      <c r="N93" s="6" t="inlineStr">
        <is>
          <t>Văn-bản-hợp-nhất-18-VBHN-VPQH</t>
        </is>
      </c>
      <c r="O93" s="6" t="inlineStr">
        <is>
          <t>Mỗi năm làm việc đủ điều kiện, người lao động được trợ cấp một nửa tháng tiền lương [SOURCE_1], [SOURCE_3]. (Hoặc được trợ cấp cứ mỗi năm làm việc là nửa tháng lương, cộng với phụ cấp lương, nếu có [SOURCE_2]).</t>
        </is>
      </c>
      <c r="P93" s="6" t="inlineStr">
        <is>
          <t>[SOURCE_1] Văn-bản-hợp-nhất-18-VBHN-VPQH | tr.20 | Điều 46. Trợ cấp thôi việc | 0.9807
[SOURCE_2] giao trinh Luat lao dong CB 2005 (1) | tr.43 | · Cho người lao động | 0.9612
[SOURCE_3] so-tay-kien-thuc-phap-luat-lao-dong-cdi | tr.16 | Trả lời: | 0.9421</t>
        </is>
      </c>
      <c r="Q93" s="6" t="inlineStr">
        <is>
          <t>[SOURCE_1] Văn-bản-hợp-nhất-18-VBHN-VPQH | tr.20 | Điều 46. Trợ cấp thôi việc | 0.9807
[SOURCE_2] giao trinh Luat lao dong CB 2005 (1) | tr.43 | · Cho người lao động | 0.9612
[SOURCE_3] so-tay-kien-thuc-phap-luat-lao-dong-cdi | tr.16 | Trả lời: | 0.9421
[SOURCE_4] giao trinh Luat lao dong CB 2005 (1) | tr.44 | · Cho người lao động | 0.9375</t>
        </is>
      </c>
      <c r="R93" s="6" t="inlineStr">
        <is>
          <t>gemini-3.5-flash-lite</t>
        </is>
      </c>
      <c r="S93" s="6" t="n">
        <v>13.9</v>
      </c>
      <c r="T93" s="7" t="n">
        <v>0.3333333333333333</v>
      </c>
      <c r="U93" s="7" t="n">
        <v>0.6842105263157895</v>
      </c>
      <c r="V93" s="6" t="inlineStr">
        <is>
          <t>Yes</t>
        </is>
      </c>
      <c r="W93" s="6" t="inlineStr">
        <is>
          <t>Yes</t>
        </is>
      </c>
      <c r="X93" s="6" t="inlineStr">
        <is>
          <t>PARTIAL</t>
        </is>
      </c>
      <c r="Y93" s="6" t="inlineStr">
        <is>
          <t>Thiếu từ khóa (33%)</t>
        </is>
      </c>
      <c r="Z93" s="6" t="inlineStr">
        <is>
          <t>PASS</t>
        </is>
      </c>
      <c r="AA93" s="6">
        <f>IF(Z93="",X93,Z93)</f>
        <v/>
      </c>
      <c r="AB93" s="6" t="n"/>
      <c r="AC93" s="6" t="inlineStr">
        <is>
          <t>[AI] Đúng nửa tháng lương, trích VBHN tr.20</t>
        </is>
      </c>
    </row>
    <row r="94">
      <c r="A94" s="6" t="inlineStr">
        <is>
          <t>LAW_E_013</t>
        </is>
      </c>
      <c r="B94" s="6" t="inlineStr">
        <is>
          <t>Rule</t>
        </is>
      </c>
      <c r="C94" s="6" t="inlineStr">
        <is>
          <t>Trợ cấp mất việc làm được tính thế nào theo Điều 47?</t>
        </is>
      </c>
      <c r="D94" s="6" t="inlineStr">
        <is>
          <t>Cứ mỗi năm làm việc trả 01 tháng tiền lương nhưng ít nhất bằng 02 tháng tiền lương, nếu thuộc trường hợp và điều kiện của Điều 47.</t>
        </is>
      </c>
      <c r="E94" s="6" t="inlineStr">
        <is>
          <t>Căn cứ: phần “Điều 47”, trang None. Nội dung được tài liệu xác nhận: Cứ mỗi năm làm việc trả 01 tháng tiền lương nhưng ít nhất bằng 02 tháng tiền lương, nếu thuộc trường hợp và điều kiện của Điều 47.</t>
        </is>
      </c>
      <c r="F94" s="6" t="n"/>
      <c r="G94" s="6" t="inlineStr">
        <is>
          <t>Điều 47</t>
        </is>
      </c>
      <c r="H94" s="6" t="inlineStr">
        <is>
          <t>1 tháng/năm | tối thiểu 2 tháng | mất việc</t>
        </is>
      </c>
      <c r="I94" s="6" t="inlineStr">
        <is>
          <t>Medium</t>
        </is>
      </c>
      <c r="J94" s="6" t="inlineStr">
        <is>
          <t>Single Chunk</t>
        </is>
      </c>
      <c r="K94" s="6" t="inlineStr">
        <is>
          <t>Yes</t>
        </is>
      </c>
      <c r="L94" s="6" t="inlineStr">
        <is>
          <t>Answer from document</t>
        </is>
      </c>
      <c r="M94" s="6" t="n"/>
      <c r="N94" s="6" t="inlineStr">
        <is>
          <t>Văn-bản-hợp-nhất-18-VBHN-VPQH</t>
        </is>
      </c>
      <c r="O94" s="6" t="inlineStr">
        <is>
          <t>Dựa trên tài liệu được cung cấp, cách tính trợ cấp mất việc làm theo Điều 47 (Bộ luật lao động) được quy định như sau:
* **Điều kiện và mức hưởng:** Người sử dụng lao động trả trợ cấp mất việc làm cho người lao động đã làm việc thường xuyên cho mình từ đủ 12 tháng trở lên mà bị mất việc làm, cứ mỗi năm làm việc trả 01 tháng tiền lương nhưng ít nhất bằng 02 tháng tiền lương [SOURCE_1].
* **Thời gian làm việc để tính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[SOURCE_1].
* **Tiền lương để tính trợ cấp mất việc làm:** Là tiền lương bình quân của 06 tháng liền kề theo hợp đồng lao động trước khi người lao động mất việc làm [SOURCE_1].</t>
        </is>
      </c>
      <c r="P94" s="6" t="inlineStr">
        <is>
          <t>[SOURCE_1] luu-ban-nhap-tu-dong-3-4 | tr.19 | Điều 47. Trợ cấp mất việc làm | 0.9993</t>
        </is>
      </c>
      <c r="Q94" s="6" t="inlineStr">
        <is>
          <t>[SOURCE_1] luu-ban-nhap-tu-dong-3-4 | tr.19 | Điều 47. Trợ cấp mất việc làm | 0.9993
[SOURCE_2] giao trinh Luat lao dong CB 2005 (1) | tr.28 | 3. Trợ cấp mất việc làm | 0.9622
[SOURCE_3] luu-ban-nhap-tu-dong-3-4 | tr.434 | "Điều 2. Hiệu lực thi hành | 0.9522
[SOURCE_4] luu-ban-nhap-tu-dong-3-4 | tr.235 | Điều 47. Trợ cấp hằng tháng | 0.914</t>
        </is>
      </c>
      <c r="R94" s="6" t="inlineStr">
        <is>
          <t>gemini-3.5-flash-lite</t>
        </is>
      </c>
      <c r="S94" s="6" t="n">
        <v>16</v>
      </c>
      <c r="T94" s="7" t="n">
        <v>0.3333333333333333</v>
      </c>
      <c r="U94" s="7" t="n">
        <v>0.92</v>
      </c>
      <c r="V94" s="6" t="inlineStr">
        <is>
          <t>No</t>
        </is>
      </c>
      <c r="W94" s="6" t="inlineStr">
        <is>
          <t>n/a</t>
        </is>
      </c>
      <c r="X94" s="6" t="inlineStr">
        <is>
          <t>PARTIAL</t>
        </is>
      </c>
      <c r="Y94" s="6" t="inlineStr">
        <is>
          <t>Thiếu từ khóa (33%); Không trích tài liệu mong đợi (không có trong ngữ cảnh)</t>
        </is>
      </c>
      <c r="Z94" s="6" t="inlineStr">
        <is>
          <t>PARTIAL</t>
        </is>
      </c>
      <c r="AA94" s="6">
        <f>IF(Z94="",X94,Z94)</f>
        <v/>
      </c>
      <c r="AB94" s="6" t="inlineStr">
        <is>
          <t>DEF-06</t>
        </is>
      </c>
      <c r="AC94" s="6" t="inlineStr">
        <is>
          <t>[AI] Nội dung đúng; trích bộ tổng hợp thay vì VBHN</t>
        </is>
      </c>
    </row>
    <row r="95">
      <c r="A95" s="6" t="inlineStr">
        <is>
          <t>LAW_E_014</t>
        </is>
      </c>
      <c r="B95" s="6" t="inlineStr">
        <is>
          <t>Definition</t>
        </is>
      </c>
      <c r="C95" s="6" t="inlineStr">
        <is>
          <t>Tiền lương theo Điều 90 bao gồm những thành phần nào?</t>
        </is>
      </c>
      <c r="D95" s="6" t="inlineStr">
        <is>
          <t>Gồm mức lương theo công việc hoặc chức danh, phụ cấp lương và các khoản bổ sung khác.</t>
        </is>
      </c>
      <c r="E95" s="6" t="inlineStr">
        <is>
          <t>Căn cứ: phần “Điều 90”, trang 35. Nội dung được tài liệu xác nhận: Gồm mức lương theo công việc hoặc chức danh, phụ cấp lương và các khoản bổ sung khác.</t>
        </is>
      </c>
      <c r="F95" s="6" t="n">
        <v>35</v>
      </c>
      <c r="G95" s="6" t="inlineStr">
        <is>
          <t>Điều 90</t>
        </is>
      </c>
      <c r="H95" s="6" t="inlineStr">
        <is>
          <t>mức lương | phụ cấp | khoản bổ sung</t>
        </is>
      </c>
      <c r="I95" s="6" t="inlineStr">
        <is>
          <t>Medium</t>
        </is>
      </c>
      <c r="J95" s="6" t="inlineStr">
        <is>
          <t>Single Chunk</t>
        </is>
      </c>
      <c r="K95" s="6" t="inlineStr">
        <is>
          <t>Yes</t>
        </is>
      </c>
      <c r="L95" s="6" t="inlineStr">
        <is>
          <t>Answer from document</t>
        </is>
      </c>
      <c r="M95" s="6" t="n"/>
      <c r="N95" s="6" t="inlineStr">
        <is>
          <t>Văn-bản-hợp-nhất-18-VBHN-VPQH</t>
        </is>
      </c>
      <c r="O95" s="6" t="inlineStr">
        <is>
          <t>Dựa trên tài liệu được cung cấp, tiền lương bao gồm mức lương theo công việc hoặc chức danh, phụ cấp lương và các khoản bổ sung khác [SOURCE_1].</t>
        </is>
      </c>
      <c r="P95" s="6" t="inlineStr">
        <is>
          <t>[SOURCE_1] luu-ban-nhap-tu-dong-3-4 | tr.97 | Chương VI &gt; TIỀN LƯƠNG &gt; Điều 90. Tiền lương | 0.9862</t>
        </is>
      </c>
      <c r="Q95" s="6" t="inlineStr">
        <is>
          <t>[SOURCE_1] luu-ban-nhap-tu-dong-3-4 | tr.97 | Chương VI &gt; TIỀN LƯƠNG &gt; Điều 90. Tiền lương | 0.9862
[SOURCE_2] luu-ban-nhap-tu-dong-3-4 | tr.423 | Chương IV &gt; Điều 21. Tiền lương | 0.9651</t>
        </is>
      </c>
      <c r="R95" s="6" t="inlineStr">
        <is>
          <t>gemini-3.5-flash-lite</t>
        </is>
      </c>
      <c r="S95" s="6" t="n">
        <v>12.7</v>
      </c>
      <c r="T95" s="7" t="n">
        <v>1</v>
      </c>
      <c r="U95" s="7" t="n">
        <v>1</v>
      </c>
      <c r="V95" s="6" t="inlineStr">
        <is>
          <t>No</t>
        </is>
      </c>
      <c r="W95" s="6" t="inlineStr">
        <is>
          <t>No</t>
        </is>
      </c>
      <c r="X95" s="6" t="inlineStr">
        <is>
          <t>PARTIAL</t>
        </is>
      </c>
      <c r="Y95" s="6" t="inlineStr">
        <is>
          <t>Không trích tài liệu mong đợi (không có trong ngữ cảnh); Không trích đúng trang 35 (±1)</t>
        </is>
      </c>
      <c r="Z95" s="6" t="inlineStr">
        <is>
          <t>PARTIAL</t>
        </is>
      </c>
      <c r="AA95" s="6">
        <f>IF(Z95="",X95,Z95)</f>
        <v/>
      </c>
      <c r="AB95" s="6" t="inlineStr">
        <is>
          <t>DEF-06</t>
        </is>
      </c>
      <c r="AC95" s="6" t="inlineStr">
        <is>
          <t>[AI] Nội dung đúng; trích bộ tổng hợp thay vì VBHN</t>
        </is>
      </c>
    </row>
    <row r="96">
      <c r="A96" s="6" t="inlineStr">
        <is>
          <t>LAW_E_015</t>
        </is>
      </c>
      <c r="B96" s="6" t="inlineStr">
        <is>
          <t>Scenario-based</t>
        </is>
      </c>
      <c r="C96" s="6" t="inlineStr">
        <is>
          <t>Một NLĐ làm thêm vào ngày nghỉ hằng tuần. Mức trả tối thiểu theo Điều 98 là bao nhiêu?</t>
        </is>
      </c>
      <c r="D96" s="6" t="inlineStr">
        <is>
          <t>Ít nhất bằng 200% đơn giá tiền lương hoặc tiền lương thực trả theo công việc đang làm.</t>
        </is>
      </c>
      <c r="E96" s="6" t="inlineStr">
        <is>
          <t>Căn cứ: phần “Điều 98”, trang 38. Nội dung được tài liệu xác nhận: Ít nhất bằng 200% đơn giá tiền lương hoặc tiền lương thực trả theo công việc đang làm.</t>
        </is>
      </c>
      <c r="F96" s="6" t="n">
        <v>38</v>
      </c>
      <c r="G96" s="6" t="inlineStr">
        <is>
          <t>Điều 98</t>
        </is>
      </c>
      <c r="H96" s="6" t="inlineStr">
        <is>
          <t>200% | ngày nghỉ hằng tuần</t>
        </is>
      </c>
      <c r="I96" s="6" t="inlineStr">
        <is>
          <t>Hard</t>
        </is>
      </c>
      <c r="J96" s="6" t="inlineStr">
        <is>
          <t>Single Chunk</t>
        </is>
      </c>
      <c r="K96" s="6" t="inlineStr">
        <is>
          <t>Yes</t>
        </is>
      </c>
      <c r="L96" s="6" t="inlineStr">
        <is>
          <t>Answer from document</t>
        </is>
      </c>
      <c r="M96" s="6" t="n"/>
      <c r="N96" s="6" t="inlineStr">
        <is>
          <t>Văn-bản-hợp-nhất-18-VBHN-VPQH</t>
        </is>
      </c>
      <c r="O96" s="6" t="inlineStr">
        <is>
          <t>Dựa trên tài liệu được cung cấp, người lao động làm thêm giờ vào ngày nghỉ hằng tuần được trả mức lương ít nhất bằng 200% [SOURCE_1], [SOURCE_2], [SOURCE_3], [SOURCE_4].</t>
        </is>
      </c>
      <c r="P96" s="6" t="inlineStr">
        <is>
          <t>[SOURCE_1] Văn-bản-hợp-nhất-18-VBHN-VPQH | tr.38 | Điều 98. Tiền lương làm thêm giờ, làm việc vào ban đêm | 0.9833
[SOURCE_2] ILO-VCCI_Labour-Law-Guide-Book-V04-Final | tr.100 | 1. Tiền lương làm thêm giờ225 &gt; (a) Đối với NLĐ hưởng lương  | 0.8883
[SOURCE_3] so-tay-kien-thuc-phap-luat-lao-dong-cdi | tr.19 | Trả lời: | 0.8499
[SOURCE_4] ILO-VCCI_Labour-Law-Guide-Book-V04-Final | tr.101 | (b) Đối với NLĐ hưởng lương theo sản phẩm | 0.8091</t>
        </is>
      </c>
      <c r="Q96" s="6" t="inlineStr">
        <is>
          <t>[SOURCE_1] Văn-bản-hợp-nhất-18-VBHN-VPQH | tr.38 | Điều 98. Tiền lương làm thêm giờ, làm việc vào ban đêm | 0.9833
[SOURCE_2] ILO-VCCI_Labour-Law-Guide-Book-V04-Final | tr.100 | 1. Tiền lương làm thêm giờ225 &gt; (a) Đối với NLĐ hưởng lương  | 0.8883
[SOURCE_3] so-tay-kien-thuc-phap-luat-lao-dong-cdi | tr.19 | Trả lời: | 0.8499
[SOURCE_4] ILO-VCCI_Labour-Law-Guide-Book-V04-Final | tr.101 | (b) Đối với NLĐ hưởng lương theo sản phẩm | 0.8091
[SOURCE_5] ILO-VCCI_Labour-Law-Guide-Book-V04-Final | tr.99 | 1. Tiền lương làm thêm giờ225 &gt; (a) Đối với NLĐ hưởng lương  | 0.6401</t>
        </is>
      </c>
      <c r="R96" s="6" t="inlineStr">
        <is>
          <t>gemini-3.5-flash-lite</t>
        </is>
      </c>
      <c r="S96" s="6" t="n">
        <v>14.4</v>
      </c>
      <c r="T96" s="7" t="n">
        <v>1</v>
      </c>
      <c r="U96" s="7" t="n">
        <v>0.5333333333333333</v>
      </c>
      <c r="V96" s="6" t="inlineStr">
        <is>
          <t>Yes</t>
        </is>
      </c>
      <c r="W96" s="6" t="inlineStr">
        <is>
          <t>Yes</t>
        </is>
      </c>
      <c r="X96" s="6" t="inlineStr">
        <is>
          <t>PASS</t>
        </is>
      </c>
      <c r="Y96" s="6" t="inlineStr"/>
      <c r="Z96" s="6" t="inlineStr">
        <is>
          <t>PASS</t>
        </is>
      </c>
      <c r="AA96" s="6">
        <f>IF(Z96="",X96,Z96)</f>
        <v/>
      </c>
      <c r="AB96" s="6" t="n"/>
      <c r="AC96" s="6" t="inlineStr">
        <is>
          <t>[AI] Đồng ý với chấm tự động</t>
        </is>
      </c>
    </row>
    <row r="97">
      <c r="A97" s="6" t="inlineStr">
        <is>
          <t>LAW_E_016</t>
        </is>
      </c>
      <c r="B97" s="6" t="inlineStr">
        <is>
          <t>Scenario-based</t>
        </is>
      </c>
      <c r="C97" s="6" t="inlineStr">
        <is>
          <t>Một NLĐ làm thêm vào ngày lễ, tết. Điều 98 quy định mức tối thiểu nào?</t>
        </is>
      </c>
      <c r="D97" s="6" t="inlineStr">
        <is>
          <t>Ít nhất bằng 300%, chưa kể tiền lương ngày lễ, tết/ngày nghỉ có hưởng lương đối với NLĐ hưởng lương ngày.</t>
        </is>
      </c>
      <c r="E97" s="6" t="inlineStr">
        <is>
          <t>Căn cứ: phần “Điều 98”, trang 38. Nội dung được tài liệu xác nhận: Ít nhất bằng 300%, chưa kể tiền lương ngày lễ, tết/ngày nghỉ có hưởng lương đối với NLĐ hưởng lương ngày.</t>
        </is>
      </c>
      <c r="F97" s="6" t="n">
        <v>38</v>
      </c>
      <c r="G97" s="6" t="inlineStr">
        <is>
          <t>Điều 98</t>
        </is>
      </c>
      <c r="H97" s="6" t="inlineStr">
        <is>
          <t>300% | lễ tết | chưa kể tiền lương ngày lễ</t>
        </is>
      </c>
      <c r="I97" s="6" t="inlineStr">
        <is>
          <t>Hard</t>
        </is>
      </c>
      <c r="J97" s="6" t="inlineStr">
        <is>
          <t>Single Chunk</t>
        </is>
      </c>
      <c r="K97" s="6" t="inlineStr">
        <is>
          <t>Yes</t>
        </is>
      </c>
      <c r="L97" s="6" t="inlineStr">
        <is>
          <t>Answer from document</t>
        </is>
      </c>
      <c r="M97" s="6" t="n"/>
      <c r="N97" s="6" t="inlineStr">
        <is>
          <t>Văn-bản-hợp-nhất-18-VBHN-VPQH</t>
        </is>
      </c>
      <c r="O97" s="6" t="inlineStr">
        <is>
          <t>Dựa trên tài liệu được cung cấp, người lao động làm thêm giờ vào ngày nghỉ lễ, tết, ngày nghỉ có hưởng lương được trả lương tính theo đơn giá tiền lương hoặc tiền lương thực trả theo công việc đang làm với mức ít nhất bằng 300% (chưa kể tiền lương ngày lễ, tết, ngày nghỉ có hưởng lương đối với người lao động hưởng lương ngày) [SOURCE_1, SOURCE_2].</t>
        </is>
      </c>
      <c r="P97" s="6" t="inlineStr"/>
      <c r="Q97" s="6" t="inlineStr">
        <is>
          <t>[SOURCE_1] Văn-bản-hợp-nhất-18-VBHN-VPQH | tr.38 | Điều 98. Tiền lương làm thêm giờ, làm việc vào ban đêm | 0.9884
[SOURCE_2] ILO-VCCI_Labour-Law-Guide-Book-V04-Final | tr.100 | 1. Tiền lương làm thêm giờ225 &gt; (a) Đối với NLĐ hưởng lương  | 0.95
[SOURCE_3] ILO-VCCI_Labour-Law-Guide-Book-V04-Final | tr.101 | (b) Đối với NLĐ hưởng lương theo sản phẩm | 0.9366
[SOURCE_4] so-tay-kien-thuc-phap-luat-lao-dong-cdi | tr.19 | Trả lời: | 0.8093
[SOURCE_5] luu-ban-nhap-tu-dong-3-4 | tr.424 | Điều 25. Tiền lương làm thêm giờ, làm việc vào ban đêm | 0.7441</t>
        </is>
      </c>
      <c r="R97" s="6" t="inlineStr">
        <is>
          <t>gemini-3.5-flash-lite</t>
        </is>
      </c>
      <c r="S97" s="6" t="n">
        <v>13.7</v>
      </c>
      <c r="T97" s="7" t="n">
        <v>1</v>
      </c>
      <c r="U97" s="7" t="n">
        <v>1</v>
      </c>
      <c r="V97" s="6" t="inlineStr">
        <is>
          <t>No</t>
        </is>
      </c>
      <c r="W97" s="6" t="inlineStr">
        <is>
          <t>No</t>
        </is>
      </c>
      <c r="X97" s="6" t="inlineStr">
        <is>
          <t>PARTIAL</t>
        </is>
      </c>
      <c r="Y97" s="6" t="inlineStr">
        <is>
          <t>Không trích tài liệu mong đợi (có trong ngữ cảnh); Không trích đúng trang 38 (±1)</t>
        </is>
      </c>
      <c r="Z97" s="6" t="inlineStr">
        <is>
          <t>PARTIAL</t>
        </is>
      </c>
      <c r="AA97" s="6">
        <f>IF(Z97="",X97,Z97)</f>
        <v/>
      </c>
      <c r="AB97" s="6" t="inlineStr">
        <is>
          <t>DEF-01</t>
        </is>
      </c>
      <c r="AC97" s="6" t="inlineStr">
        <is>
          <t>[AI] Nội dung đúng (300%) nhưng mất toàn bộ trích dẫn (thẻ gộp)</t>
        </is>
      </c>
    </row>
    <row r="98">
      <c r="A98" s="6" t="inlineStr">
        <is>
          <t>LAW_E_017</t>
        </is>
      </c>
      <c r="B98" s="6" t="inlineStr">
        <is>
          <t>Multi-hop</t>
        </is>
      </c>
      <c r="C98" s="6" t="inlineStr">
        <is>
          <t>Doanh nghiệp bố trí 10 giờ/ngày theo tuần. Điều này có thể phù hợp không và giới hạn tuần là bao nhiêu?</t>
        </is>
      </c>
      <c r="D98" s="6" t="inlineStr">
        <is>
          <t>Có thể, nếu NSDLĐ quy định thời giờ làm việc theo tuần và thông báo cho NLĐ; khi đó thời giờ bình thường không quá 10 giờ/ngày và không quá 48 giờ/tuần.</t>
        </is>
      </c>
      <c r="E98" s="6" t="inlineStr">
        <is>
          <t>Căn cứ: phần “Điều 105”, trang 40. Nội dung được tài liệu xác nhận: Có thể, nếu NSDLĐ quy định thời giờ làm việc theo tuần và thông báo cho NLĐ; khi đó thời giờ bình thường không quá 10 giờ/ngày và không quá 48 giờ/tuần.</t>
        </is>
      </c>
      <c r="F98" s="6" t="n">
        <v>40</v>
      </c>
      <c r="G98" s="6" t="inlineStr">
        <is>
          <t>Điều 105</t>
        </is>
      </c>
      <c r="H98" s="6" t="inlineStr">
        <is>
          <t>10 giờ/ngày | 48 giờ/tuần | theo tuần</t>
        </is>
      </c>
      <c r="I98" s="6" t="inlineStr">
        <is>
          <t>Hard</t>
        </is>
      </c>
      <c r="J98" s="6" t="inlineStr">
        <is>
          <t>Multiple Chunks</t>
        </is>
      </c>
      <c r="K98" s="6" t="inlineStr">
        <is>
          <t>Yes</t>
        </is>
      </c>
      <c r="L98" s="6" t="inlineStr">
        <is>
          <t>Answer from document</t>
        </is>
      </c>
      <c r="M98" s="6" t="n"/>
      <c r="N98" s="6" t="inlineStr">
        <is>
          <t>Văn-bản-hợp-nhất-18-VBHN-VPQH</t>
        </is>
      </c>
      <c r="O98" s="6" t="inlineStr">
        <is>
          <t>Việc doanh nghiệp bố trí thời giờ làm việc bình thường theo tuần không quá 10 giờ trong 01 ngày là có thể phù hợp, với điều kiện tổng thời giờ làm việc bình thường trong 01 tuần không quá 48 giờ [SOURCE_1], [SOURCE_2], [SOURCE_3]. 
Cụ thể về các giới hạn như sau:
* Giới hạn theo ngày (trường hợp tính theo tuần): Thời giờ làm việc bình thường không quá 10 giờ trong 01 ngày [SOURCE_1], [SOURCE_2], [SOURCE_3].
* Giới hạn theo tuần: Thời giờ làm việc bình thường không quá 48 giờ trong 01 tuần [SOURCE_1], [SOURCE_2], [SOURCE_3]. 
Ngoài ra, người sử dụng lao động có quyền quy định thời giờ làm việc theo tuần nhưng phải thông báo cho người lao động biết [SOURCE_1], [SOURCE_3].</t>
        </is>
      </c>
      <c r="P98" s="6" t="inlineStr">
        <is>
          <t>[SOURCE_1] Văn-bản-hợp-nhất-18-VBHN-VPQH | tr.40 | Chương VII &gt; THỜI GIO LAM VIỆC, THỜI GIO NGHI NGƠI Mục 1 &gt; T | 0.7509
[SOURCE_2] luu-ban-nhap-tu-dong-3-4 | tr.101 | Chương VII THỜI GIỜ LÀM VIỆC, THỜI GIỜ NGHỈ NGƠI &gt; Mục 1 THỜ | 0.6542
[SOURCE_3] ILO-VCCI_Labour-Law-Guide-Book-V04-Final | tr.107 | CHƯƠNG VI. THỜI GIỜ LÀM VIỆC – THỜI GIỜ NGHỈ NGƠI &gt; I. THỜI  | 0.4888</t>
        </is>
      </c>
      <c r="Q98" s="6" t="inlineStr">
        <is>
          <t>[SOURCE_1] Văn-bản-hợp-nhất-18-VBHN-VPQH | tr.40 | Chương VII &gt; THỜI GIO LAM VIỆC, THỜI GIO NGHI NGƠI Mục 1 &gt; T | 0.7509
[SOURCE_2] luu-ban-nhap-tu-dong-3-4 | tr.101 | Chương VII THỜI GIỜ LÀM VIỆC, THỜI GIỜ NGHỈ NGƠI &gt; Mục 1 THỜ | 0.6542
[SOURCE_3] ILO-VCCI_Labour-Law-Guide-Book-V04-Final | tr.107 | CHƯƠNG VI. THỜI GIỜ LÀM VIỆC – THỜI GIỜ NGHỈ NGƠI &gt; I. THỜI  | 0.4888
[SOURCE_4] ILO-VCCI_Labour-Law-Guide-Book-V04-Final | tr.112 | (ii) Giới hạn số giờ làm thêm trong năm | 0.4459</t>
        </is>
      </c>
      <c r="R98" s="6" t="inlineStr">
        <is>
          <t>gemini-3.5-flash-lite</t>
        </is>
      </c>
      <c r="S98" s="6" t="n">
        <v>14.6</v>
      </c>
      <c r="T98" s="7" t="n">
        <v>1</v>
      </c>
      <c r="U98" s="7" t="n">
        <v>1</v>
      </c>
      <c r="V98" s="6" t="inlineStr">
        <is>
          <t>Yes</t>
        </is>
      </c>
      <c r="W98" s="6" t="inlineStr">
        <is>
          <t>Yes</t>
        </is>
      </c>
      <c r="X98" s="6" t="inlineStr">
        <is>
          <t>PASS</t>
        </is>
      </c>
      <c r="Y98" s="6" t="inlineStr"/>
      <c r="Z98" s="6" t="inlineStr">
        <is>
          <t>PASS</t>
        </is>
      </c>
      <c r="AA98" s="6">
        <f>IF(Z98="",X98,Z98)</f>
        <v/>
      </c>
      <c r="AB98" s="6" t="n"/>
      <c r="AC98" s="6" t="inlineStr">
        <is>
          <t>[AI] Đồng ý với chấm tự động</t>
        </is>
      </c>
    </row>
    <row r="99">
      <c r="A99" s="6" t="inlineStr">
        <is>
          <t>LAW_E_018</t>
        </is>
      </c>
      <c r="B99" s="6" t="inlineStr">
        <is>
          <t>Multi-hop</t>
        </is>
      </c>
      <c r="C99" s="6" t="inlineStr">
        <is>
          <t>Một NLĐ làm đủ 12 tháng hỏi về nghỉ hằng năm. RAG cần căn cứ điều nào và yếu tố nào để xác định số ngày nghỉ?</t>
        </is>
      </c>
      <c r="D99" s="6" t="inlineStr">
        <is>
          <t>Căn cứ Điều 113. Số ngày nghỉ hưởng nguyên lương phụ thuộc nhóm điều kiện/công việc của NLĐ theo các mức được điều này quy định.</t>
        </is>
      </c>
      <c r="E99" s="6" t="inlineStr">
        <is>
          <t>Căn cứ: phần “Điều 113”, trang 42. Nội dung được tài liệu xác nhận: Căn cứ Điều 113. Số ngày nghỉ hưởng nguyên lương phụ thuộc nhóm điều kiện/công việc của NLĐ theo các mức được điều này quy định.</t>
        </is>
      </c>
      <c r="F99" s="6" t="n">
        <v>42</v>
      </c>
      <c r="G99" s="6" t="inlineStr">
        <is>
          <t>Điều 113</t>
        </is>
      </c>
      <c r="H99" s="6" t="inlineStr">
        <is>
          <t>12 tháng | nghỉ hằng năm | hưởng nguyên lương</t>
        </is>
      </c>
      <c r="I99" s="6" t="inlineStr">
        <is>
          <t>Hard</t>
        </is>
      </c>
      <c r="J99" s="6" t="inlineStr">
        <is>
          <t>Single Chunk</t>
        </is>
      </c>
      <c r="K99" s="6" t="inlineStr">
        <is>
          <t>Yes</t>
        </is>
      </c>
      <c r="L99" s="6" t="inlineStr">
        <is>
          <t>Answer from document</t>
        </is>
      </c>
      <c r="M99" s="6" t="n"/>
      <c r="N99" s="6" t="inlineStr">
        <is>
          <t>Văn-bản-hợp-nhất-18-VBHN-VPQH</t>
        </is>
      </c>
      <c r="O99" s="6" t="inlineStr">
        <is>
          <t>Dựa trên tài liệu được cung cấp, để xác định số ngày nghỉ hằng năm đối với người lao động làm việc đủ 12 tháng cho một người sử dụng lao động, hệ thống cần căn cứ vào các điều luật và yếu tố sau:
1. **Căn cứ pháp lý:** 
 - Theo quy định tại Điều 111 của Bộ luật Lao động [SOURCE_1].
 - Theo quy định tại Điều 113.1 của Bộ luật Lao động 2019 (hoặc Điều 113 của Văn bản hợp nhất số 18/VBHN-VPQH) [SOURCE_2], [SOURCE_4].
2. **Các yếu tố để xác định số ngày nghỉ hằng năm:**
 - **Thời gian làm việc:** Người lao động phải làm việc đủ 12 tháng cho một người sử dụng lao động [SOURCE_1], [SOURCE_2], [SOURCE_4].
 - **Điều kiện làm việc hoặc tính chất công việc:** Số ngày nghỉ được phân chia theo các mức độ công việc cụ thể:
 - 12 ngày làm việc đối với người làm công việc trong điều kiện bình thường [SOURCE_1], [SOURCE_2], [SOURCE_4].
 - 14 ngày làm việc đối với người lao động chưa thành niên, lao động là người khuyết tật, người làm nghề, công việc nặng nhọc, độc hại, nguy hiểm [SOURCE_2], [SOURCE_4].
 - 16 ngày làm việc đối với người làm nghề, công việc đặc biệt nặng nhọc, độc hại, nguy hiểm [SOURCE_2], [SOURCE_4].
 - **Thâm niên làm việc:** Cứ đủ 05 năm làm việc cho một người sử dụng lao động thì số ngày nghỉ hằng năm của người lao động theo các quy định trên sẽ được tăng thêm tương ứng 01 ngày [SOURCE_2].</t>
        </is>
      </c>
      <c r="P99" s="6" t="inlineStr">
        <is>
          <t>[SOURCE_1] so-tay-kien-thuc-phap-luat-lao-dong-cdi | tr.24 | Trả lời: | 0.9961
[SOURCE_2] ILO-VCCI_Labour-Law-Guide-Book-V04-Final | tr.115 | V. NGHỈ HẰNG NĂM &gt; 1. Số ngày nghỉ hằng năm | 0.9941
[SOURCE_4] Văn-bản-hợp-nhất-18-VBHN-VPQH | tr.42 | Điều 113. Nghỉ hằng năm | 0.9781</t>
        </is>
      </c>
      <c r="Q99" s="6" t="inlineStr">
        <is>
          <t>[SOURCE_1] so-tay-kien-thuc-phap-luat-lao-dong-cdi | tr.24 | Trả lời: | 0.9961
[SOURCE_2] ILO-VCCI_Labour-Law-Guide-Book-V04-Final | tr.115 | V. NGHỈ HẰNG NĂM &gt; 1. Số ngày nghỉ hằng năm | 0.9941
[SOURCE_3] ILO-VCCI_Labour-Law-Guide-Book-V04-Final | tr.116 | 2. Cách tính ngày nghỉ hằng năm trong những trường hợp đặc b | 0.9813
[SOURCE_4] Văn-bản-hợp-nhất-18-VBHN-VPQH | tr.42 | Điều 113. Nghỉ hằng năm | 0.9781</t>
        </is>
      </c>
      <c r="R99" s="6" t="inlineStr">
        <is>
          <t>gemini-3.5-flash-lite</t>
        </is>
      </c>
      <c r="S99" s="6" t="n">
        <v>16.1</v>
      </c>
      <c r="T99" s="7" t="n">
        <v>0.6666666666666666</v>
      </c>
      <c r="U99" s="7" t="n">
        <v>0.75</v>
      </c>
      <c r="V99" s="6" t="inlineStr">
        <is>
          <t>Yes</t>
        </is>
      </c>
      <c r="W99" s="6" t="inlineStr">
        <is>
          <t>Yes</t>
        </is>
      </c>
      <c r="X99" s="6" t="inlineStr">
        <is>
          <t>PARTIAL</t>
        </is>
      </c>
      <c r="Y99" s="6" t="inlineStr">
        <is>
          <t>Thiếu từ khóa (67%)</t>
        </is>
      </c>
      <c r="Z99" s="6" t="inlineStr">
        <is>
          <t>PASS</t>
        </is>
      </c>
      <c r="AA99" s="6">
        <f>IF(Z99="",X99,Z99)</f>
        <v/>
      </c>
      <c r="AB99" s="6" t="n"/>
      <c r="AC99" s="6" t="inlineStr">
        <is>
          <t>[AI] Đúng Điều 113 và các mức; có nhắc Điều 111 (sổ tay, luật cũ)</t>
        </is>
      </c>
    </row>
    <row r="100">
      <c r="A100" s="6" t="inlineStr">
        <is>
          <t>LAW_E_019</t>
        </is>
      </c>
      <c r="B100" s="6" t="inlineStr">
        <is>
          <t>Procedure</t>
        </is>
      </c>
      <c r="C100" s="6" t="inlineStr">
        <is>
          <t>Khi xử lý kỷ luật lao động, NSDLĐ phải bảo đảm những nguyên tắc tố tụng cơ bản nào?</t>
        </is>
      </c>
      <c r="D100" s="6" t="inlineStr">
        <is>
          <t>Phải chứng minh lỗi của NLĐ; có sự tham gia của tổ chức đại diện NLĐ tại cơ sở khi NLĐ là thành viên; NLĐ phải có mặt và có quyền tự bào chữa/nhờ bào chữa; việc xử lý phải được lập biên bản, cùng các yêu cầu khác của Điều 122.</t>
        </is>
      </c>
      <c r="E100" s="6" t="inlineStr">
        <is>
          <t>Căn cứ: phần “Điều 122”, trang 46. Nội dung được tài liệu xác nhận: Phải chứng minh lỗi của NLĐ; có sự tham gia của tổ chức đại diện NLĐ tại cơ sở khi NLĐ là thành viên; NLĐ phải có mặt và có quyền tự bào chữa/nhờ bào chữa; việc xử lý phải được lập biên bản, cùng các yêu cầu khác của Điều 122.</t>
        </is>
      </c>
      <c r="F100" s="6" t="n">
        <v>46</v>
      </c>
      <c r="G100" s="6" t="inlineStr">
        <is>
          <t>Điều 122</t>
        </is>
      </c>
      <c r="H100" s="6" t="inlineStr">
        <is>
          <t>chứng minh lỗi | tổ chức đại diện | tự bào chữa | biên bản</t>
        </is>
      </c>
      <c r="I100" s="6" t="inlineStr">
        <is>
          <t>Hard</t>
        </is>
      </c>
      <c r="J100" s="6" t="inlineStr">
        <is>
          <t>Multiple Chunks</t>
        </is>
      </c>
      <c r="K100" s="6" t="inlineStr">
        <is>
          <t>Yes</t>
        </is>
      </c>
      <c r="L100" s="6" t="inlineStr">
        <is>
          <t>Answer from document</t>
        </is>
      </c>
      <c r="M100" s="6" t="n"/>
      <c r="N100" s="6" t="inlineStr">
        <is>
          <t>Văn-bản-hợp-nhất-18-VBHN-VPQH</t>
        </is>
      </c>
      <c r="O100" s="6" t="inlineStr">
        <is>
          <t>Dựa trên tài liệu được cung cấp, khi xử lý kỷ luật lao động, người sử dụng lao động (NSDLĐ) phải bảo đảm các nguyên tắc và quy trình sau:
* NSDLĐ phải chứng minh được lỗi của người lao động [SOURCE_2], [SOURCE_4].
* Phải có sự tham gia của tổ chức đại diện tập thể lao động tại cơ sở (hoặc tổ chức đại diện người lao động tại cơ sở mà người lao động là thành viên) [SOURCE_1], [SOURCE_2], [SOURCE_4].
* Người lao động phải có mặt và có quyền tự bào chữa, nhờ luật sư hoặc người khác bào chữa; trường hợp người lao động dưới 18 tuổi thì phải có sự tham gia của cha, mẹ hoặc người đại diện theo pháp luật (hoặc người đại diện theo pháp luật của người lao động dưới 15 tuổi) [SOURCE_1], [SOURCE_4].
* Việc xử lý kỷ luật lao động phải được lập thành biên bản [SOURCE_4], và nội dung cuộc họp xử lý kỷ luật lao động cũng phải được lập thành biên bản, thông qua trước khi kết thúc cuộc họp, có chữ ký của những người tham dự [SOURCE_5].
* Trong thời hiệu xử lý kỷ luật lao động, NSDLĐ phải thực hiện việc thông báo trước ít nhất 05 ngày làm việc về nội dung, thời gian, địa điểm, họ tên người bị xử lý và hành vi vi phạm đến các thành phần phải tham dự họp [SOURCE_1].</t>
        </is>
      </c>
      <c r="P100" s="6" t="inlineStr">
        <is>
          <t>[SOURCE_1] ILO-VCCI_Labour-Law-Guide-Book-V04-Final | tr.54 | III. QUY TRÌNH XỬ LÝ KỶ LUẬT LAO ĐỘNG | 0.9312
[SOURCE_2] ILO-VCCI_Labour-Law-Guide-Book-V04-Final | tr.53 | III. QUY TRÌNH XỬ LÝ KỶ LUẬT LAO ĐỘNG | 0.9291
[SOURCE_4] so-tay-kien-thuc-phap-luat-lao-dong-cdi | tr.33 | Trả lời: | 0.9056
[SOURCE_5] ILO-VCCI_Labour-Law-Guide-Book-V04-Final | tr.54 | III. QUY TRÌNH XỬ LÝ KỶ LUẬT LAO ĐỘNG | 0.8585</t>
        </is>
      </c>
      <c r="Q100" s="6" t="inlineStr">
        <is>
          <t>[SOURCE_1] ILO-VCCI_Labour-Law-Guide-Book-V04-Final | tr.54 | III. QUY TRÌNH XỬ LÝ KỶ LUẬT LAO ĐỘNG | 0.9312
[SOURCE_2] ILO-VCCI_Labour-Law-Guide-Book-V04-Final | tr.53 | III. QUY TRÌNH XỬ LÝ KỶ LUẬT LAO ĐỘNG | 0.9291
[SOURCE_3] giao trinh Luat lao dong CB 2005 (1) | tr.90 | b) Nguyên tắc xử lý vi phạm kỷ luật lao động | 0.9187
[SOURCE_4] so-tay-kien-thuc-phap-luat-lao-dong-cdi | tr.33 | Trả lời: | 0.9056
[SOURCE_5] ILO-VCCI_Labour-Law-Guide-Book-V04-Final | tr.54 | III. QUY TRÌNH XỬ LÝ KỶ LUẬT LAO ĐỘNG | 0.8585</t>
        </is>
      </c>
      <c r="R100" s="6" t="inlineStr">
        <is>
          <t>gemini-3.5-flash-lite</t>
        </is>
      </c>
      <c r="S100" s="6" t="n">
        <v>14.9</v>
      </c>
      <c r="T100" s="7" t="n">
        <v>1</v>
      </c>
      <c r="U100" s="7" t="n">
        <v>0.8913043478260869</v>
      </c>
      <c r="V100" s="6" t="inlineStr">
        <is>
          <t>No</t>
        </is>
      </c>
      <c r="W100" s="6" t="inlineStr">
        <is>
          <t>No</t>
        </is>
      </c>
      <c r="X100" s="6" t="inlineStr">
        <is>
          <t>PARTIAL</t>
        </is>
      </c>
      <c r="Y100" s="6" t="inlineStr">
        <is>
          <t>Không trích tài liệu mong đợi (không có trong ngữ cảnh); Không trích đúng trang 46 (±1)</t>
        </is>
      </c>
      <c r="Z100" s="6" t="inlineStr">
        <is>
          <t>PARTIAL</t>
        </is>
      </c>
      <c r="AA100" s="6">
        <f>IF(Z100="",X100,Z100)</f>
        <v/>
      </c>
      <c r="AB100" s="6" t="inlineStr">
        <is>
          <t>DEF-06</t>
        </is>
      </c>
      <c r="AC100" s="6" t="inlineStr">
        <is>
          <t>[AI] Nội dung đúng; trích ILO và sổ tay thay vì VBHN</t>
        </is>
      </c>
    </row>
    <row r="101">
      <c r="A101" s="6" t="inlineStr">
        <is>
          <t>LAW_E_020</t>
        </is>
      </c>
      <c r="B101" s="6" t="inlineStr">
        <is>
          <t>Scenario-based</t>
        </is>
      </c>
      <c r="C101" s="6" t="inlineStr">
        <is>
          <t>NLĐ trộm cắp hoặc sử dụng ma túy tại nơi làm việc có thể bị áp dụng hình thức kỷ luật nào theo Điều 125?</t>
        </is>
      </c>
      <c r="D101" s="6" t="inlineStr">
        <is>
          <t>Có thể bị áp dụng hình thức xử lý kỷ luật sa thải theo các trường hợp Điều 125 quy định.</t>
        </is>
      </c>
      <c r="E101" s="6" t="inlineStr">
        <is>
          <t>Căn cứ: phần “Điều 125”, trang 47. Nội dung được tài liệu xác nhận: Có thể bị áp dụng hình thức xử lý kỷ luật sa thải theo các trường hợp Điều 125 quy định.</t>
        </is>
      </c>
      <c r="F101" s="6" t="n">
        <v>47</v>
      </c>
      <c r="G101" s="6" t="inlineStr">
        <is>
          <t>Điều 125</t>
        </is>
      </c>
      <c r="H101" s="6" t="inlineStr">
        <is>
          <t>trộm cắp | ma túy | sa thải</t>
        </is>
      </c>
      <c r="I101" s="6" t="inlineStr">
        <is>
          <t>Hard</t>
        </is>
      </c>
      <c r="J101" s="6" t="inlineStr">
        <is>
          <t>Single Chunk</t>
        </is>
      </c>
      <c r="K101" s="6" t="inlineStr">
        <is>
          <t>Yes</t>
        </is>
      </c>
      <c r="L101" s="6" t="inlineStr">
        <is>
          <t>Answer from document</t>
        </is>
      </c>
      <c r="M101" s="6" t="n"/>
      <c r="N101" s="6" t="inlineStr">
        <is>
          <t>Văn-bản-hợp-nhất-18-VBHN-VPQH</t>
        </is>
      </c>
      <c r="O101" s="6" t="inlineStr">
        <is>
          <t>Người lao động có hành vi trộm cắp hoặc sử dụng ma túy tại nơi làm việc có thể bị áp dụng hình thức xử lý kỷ luật sa thải [SOURCE_1], [SOURCE_2], [SOURCE_3].</t>
        </is>
      </c>
      <c r="P101" s="6" t="inlineStr">
        <is>
          <t>[SOURCE_1] Văn-bản-hợp-nhất-18-VBHN-VPQH | tr.47 | Điều 125. Áp dụng hình thức xử lý kỷ luật sa thải | 0.9979
[SOURCE_2] so-tay-kien-thuc-phap-luat-lao-dong-cdi | tr.33 | Trả lời: | 0.9642
[SOURCE_3] ILO-VCCI_Labour-Law-Guide-Book-V04-Final | tr.24 | I. CHẤM DỨT HĐLĐ BỞI NSDLĐ &gt; 1. Sa thải &gt; (a) Hành vi bị xử  | 0.9291</t>
        </is>
      </c>
      <c r="Q101" s="6" t="inlineStr">
        <is>
          <t>[SOURCE_1] Văn-bản-hợp-nhất-18-VBHN-VPQH | tr.47 | Điều 125. Áp dụng hình thức xử lý kỷ luật sa thải | 0.9979
[SOURCE_2] so-tay-kien-thuc-phap-luat-lao-dong-cdi | tr.33 | Trả lời: | 0.9642
[SOURCE_3] ILO-VCCI_Labour-Law-Guide-Book-V04-Final | tr.24 | I. CHẤM DỨT HĐLĐ BỞI NSDLĐ &gt; 1. Sa thải &gt; (a) Hành vi bị xử  | 0.9291
[SOURCE_4] giao trinh Luat lao dong CB 2005 (1) | tr.92 | (3) Sa thải: | 0.8198
[SOURCE_5] luu-ban-nhap-tu-dong-3-4 | tr.107 | Điều 125. Hình thức xử lý kỷ luật lao động | 0.7854</t>
        </is>
      </c>
      <c r="R101" s="6" t="inlineStr">
        <is>
          <t>gemini-3.5-flash-lite</t>
        </is>
      </c>
      <c r="S101" s="6" t="n">
        <v>15.2</v>
      </c>
      <c r="T101" s="7" t="n">
        <v>1</v>
      </c>
      <c r="U101" s="7" t="n">
        <v>0.6666666666666666</v>
      </c>
      <c r="V101" s="6" t="inlineStr">
        <is>
          <t>Yes</t>
        </is>
      </c>
      <c r="W101" s="6" t="inlineStr">
        <is>
          <t>Yes</t>
        </is>
      </c>
      <c r="X101" s="6" t="inlineStr">
        <is>
          <t>PASS</t>
        </is>
      </c>
      <c r="Y101" s="6" t="inlineStr"/>
      <c r="Z101" s="6" t="inlineStr">
        <is>
          <t>PASS</t>
        </is>
      </c>
      <c r="AA101" s="6">
        <f>IF(Z101="",X101,Z101)</f>
        <v/>
      </c>
      <c r="AB101" s="6" t="n"/>
      <c r="AC101" s="6" t="inlineStr">
        <is>
          <t>[AI] Đồng ý với chấm tự động</t>
        </is>
      </c>
    </row>
  </sheetData>
  <autoFilter ref="A1:AC101"/>
  <conditionalFormatting sqref="X2:X101">
    <cfRule type="cellIs" priority="1" operator="equal" dxfId="0">
      <formula>"PASS"</formula>
    </cfRule>
    <cfRule type="cellIs" priority="2" operator="equal" dxfId="1">
      <formula>"PARTIAL"</formula>
    </cfRule>
    <cfRule type="cellIs" priority="3" operator="equal" dxfId="2">
      <formula>"FAIL"</formula>
    </cfRule>
    <cfRule type="cellIs" priority="4" operator="equal" dxfId="3">
      <formula>"BLOCKED"</formula>
    </cfRule>
  </conditionalFormatting>
  <conditionalFormatting sqref="Z2:Z101">
    <cfRule type="cellIs" priority="5" operator="equal" dxfId="0">
      <formula>"PASS"</formula>
    </cfRule>
    <cfRule type="cellIs" priority="6" operator="equal" dxfId="1">
      <formula>"PARTIAL"</formula>
    </cfRule>
    <cfRule type="cellIs" priority="7" operator="equal" dxfId="2">
      <formula>"FAIL"</formula>
    </cfRule>
    <cfRule type="cellIs" priority="8" operator="equal" dxfId="3">
      <formula>"BLOCKED"</formula>
    </cfRule>
  </conditionalFormatting>
  <conditionalFormatting sqref="AA2:AA101">
    <cfRule type="cellIs" priority="9" operator="equal" dxfId="0">
      <formula>"PASS"</formula>
    </cfRule>
    <cfRule type="cellIs" priority="10" operator="equal" dxfId="1">
      <formula>"PARTIAL"</formula>
    </cfRule>
    <cfRule type="cellIs" priority="11" operator="equal" dxfId="2">
      <formula>"FAIL"</formula>
    </cfRule>
    <cfRule type="cellIs" priority="12" operator="equal" dxfId="3">
      <formula>"BLOCKED"</formula>
    </cfRule>
  </conditionalFormatting>
  <dataValidations count="1">
    <dataValidation sqref="Z2:Z101" showDropDown="0" showInputMessage="0" showErrorMessage="0" allowBlank="1" type="list">
      <formula1>"PASS,PARTIAL,FAIL,BLOCKED"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cols>
    <col width="36" customWidth="1" min="2" max="2"/>
    <col width="60" customWidth="1" min="11" max="11"/>
  </cols>
  <sheetData>
    <row r="1">
      <c r="A1" s="2" t="inlineStr">
        <is>
          <t>ID</t>
        </is>
      </c>
      <c r="B1" s="2" t="inlineStr">
        <is>
          <t>Document</t>
        </is>
      </c>
      <c r="C1" s="2" t="inlineStr">
        <is>
          <t>Category</t>
        </is>
      </c>
      <c r="D1" s="2" t="inlineStr">
        <is>
          <t>Difficulty</t>
        </is>
      </c>
      <c r="E1" s="2" t="inlineStr">
        <is>
          <t>Doc@1</t>
        </is>
      </c>
      <c r="F1" s="2" t="inlineStr">
        <is>
          <t>Doc@5</t>
        </is>
      </c>
      <c r="G1" s="2" t="inlineStr">
        <is>
          <t>Page@5 (±1)</t>
        </is>
      </c>
      <c r="H1" s="2" t="inlineStr">
        <is>
          <t>Keyword coverage (top 5)</t>
        </is>
      </c>
      <c r="I1" s="2" t="inlineStr">
        <is>
          <t>Best rerank</t>
        </is>
      </c>
      <c r="J1" s="2" t="inlineStr">
        <is>
          <t>Refused (&lt; threshold)</t>
        </is>
      </c>
      <c r="K1" s="2" t="inlineStr">
        <is>
          <t>Top sources</t>
        </is>
      </c>
    </row>
    <row r="2">
      <c r="A2" t="inlineStr">
        <is>
          <t>LAW_A_001</t>
        </is>
      </c>
      <c r="B2" t="inlineStr">
        <is>
          <t>giao trinh Luat lao dong CB 2005 (1)</t>
        </is>
      </c>
      <c r="C2" t="inlineStr">
        <is>
          <t>Definition</t>
        </is>
      </c>
      <c r="D2" t="inlineStr">
        <is>
          <t>Easy</t>
        </is>
      </c>
      <c r="E2" t="n">
        <v>1</v>
      </c>
      <c r="F2" t="n">
        <v>1</v>
      </c>
      <c r="G2" t="b">
        <v>1</v>
      </c>
      <c r="H2" t="n">
        <v>1</v>
      </c>
      <c r="I2" t="n">
        <v>0.9984</v>
      </c>
      <c r="J2" t="n">
        <v>0</v>
      </c>
      <c r="K2" t="inlineStr">
        <is>
          <t>giao trinh Luat lao dong CB 2005 (1) tr.3-3 (0.9984)
giao trinh Luat lao dong CB 2005 (1) tr.7-7 (0.9587)
giao trinh Luat lao dong CB 2005 (1) tr.7-7 (0.9279)
giao trinh Luat lao dong CB 2005 (1) tr.3-4 (0.8305)
giao trinh Luat lao dong CB 2005 (1) tr.6-6 (0.8054)</t>
        </is>
      </c>
    </row>
    <row r="3">
      <c r="A3" t="inlineStr">
        <is>
          <t>LAW_A_002</t>
        </is>
      </c>
      <c r="B3" t="inlineStr">
        <is>
          <t>giao trinh Luat lao dong CB 2005 (1)</t>
        </is>
      </c>
      <c r="C3" t="inlineStr">
        <is>
          <t>Definition</t>
        </is>
      </c>
      <c r="D3" t="inlineStr">
        <is>
          <t>Easy</t>
        </is>
      </c>
      <c r="E3" t="n">
        <v>1</v>
      </c>
      <c r="F3" t="n">
        <v>1</v>
      </c>
      <c r="G3" t="b">
        <v>1</v>
      </c>
      <c r="H3" t="n">
        <v>1</v>
      </c>
      <c r="I3" t="n">
        <v>0.9737</v>
      </c>
      <c r="J3" t="n">
        <v>0</v>
      </c>
      <c r="K3" t="inlineStr">
        <is>
          <t>giao trinh Luat lao dong CB 2005 (1) tr.13-13 (0.9737)
giao trinh Luat lao dong CB 2005 (1) tr.3-3 (0.8655)
giao trinh Luat lao dong CB 2005 (1) tr.3-3 (0.8496)
luu-ban-nhap-tu-dong-3-4 tr.69-70 (0.8055)
luu-ban-nhap-tu-dong-3-4 tr.72-72 (0.7175)</t>
        </is>
      </c>
    </row>
    <row r="4">
      <c r="A4" t="inlineStr">
        <is>
          <t>LAW_A_003</t>
        </is>
      </c>
      <c r="B4" t="inlineStr">
        <is>
          <t>giao trinh Luat lao dong CB 2005 (1)</t>
        </is>
      </c>
      <c r="C4" t="inlineStr">
        <is>
          <t>List</t>
        </is>
      </c>
      <c r="D4" t="inlineStr">
        <is>
          <t>Easy</t>
        </is>
      </c>
      <c r="E4" t="n">
        <v>1</v>
      </c>
      <c r="F4" t="n">
        <v>1</v>
      </c>
      <c r="G4" t="b">
        <v>1</v>
      </c>
      <c r="H4" t="n">
        <v>1</v>
      </c>
      <c r="I4" t="n">
        <v>0.9891</v>
      </c>
      <c r="J4" t="n">
        <v>0</v>
      </c>
      <c r="K4" t="inlineStr">
        <is>
          <t>giao trinh Luat lao dong CB 2005 (1) tr.4-5 (0.9891)
giao trinh Luat lao dong CB 2005 (1) tr.13-13 (0.9326)
giao trinh Luat lao dong CB 2005 (1) tr.3-3 (0.9083)
luu-ban-nhap-tu-dong-3-4 tr.72-72 (0.8941)
giao trinh Luat lao dong CB 2005 (1) tr.3-3 (0.891)</t>
        </is>
      </c>
    </row>
    <row r="5">
      <c r="A5" t="inlineStr">
        <is>
          <t>LAW_A_004</t>
        </is>
      </c>
      <c r="B5" t="inlineStr">
        <is>
          <t>giao trinh Luat lao dong CB 2005 (1)</t>
        </is>
      </c>
      <c r="C5" t="inlineStr">
        <is>
          <t>Definition</t>
        </is>
      </c>
      <c r="D5" t="inlineStr">
        <is>
          <t>Easy</t>
        </is>
      </c>
      <c r="E5" t="n">
        <v>1</v>
      </c>
      <c r="F5" t="n">
        <v>1</v>
      </c>
      <c r="G5" t="b">
        <v>1</v>
      </c>
      <c r="H5" t="n">
        <v>1</v>
      </c>
      <c r="I5" t="n">
        <v>0.9936</v>
      </c>
      <c r="J5" t="n">
        <v>0</v>
      </c>
      <c r="K5" t="inlineStr">
        <is>
          <t>giao trinh Luat lao dong CB 2005 (1) tr.13-13 (0.9936)
giao trinh Luat lao dong CB 2005 (1) tr.14-14 (0.9835)
giao trinh Luat lao dong CB 2005 (1) tr.14-15 (0.9708)
giao trinh Luat lao dong CB 2005 (1) tr.14-14 (0.9608)
giao trinh Luat lao dong CB 2005 (1) tr.18-18 (0.9575)</t>
        </is>
      </c>
    </row>
    <row r="6">
      <c r="A6" t="inlineStr">
        <is>
          <t>LAW_A_005</t>
        </is>
      </c>
      <c r="B6" t="inlineStr">
        <is>
          <t>giao trinh Luat lao dong CB 2005 (1)</t>
        </is>
      </c>
      <c r="C6" t="inlineStr">
        <is>
          <t>Direct Fact</t>
        </is>
      </c>
      <c r="D6" t="inlineStr">
        <is>
          <t>Easy</t>
        </is>
      </c>
      <c r="E6" t="n">
        <v>1</v>
      </c>
      <c r="F6" t="n">
        <v>1</v>
      </c>
      <c r="G6" t="b">
        <v>1</v>
      </c>
      <c r="H6" t="n">
        <v>1</v>
      </c>
      <c r="I6" t="n">
        <v>0.9905</v>
      </c>
      <c r="J6" t="n">
        <v>0</v>
      </c>
      <c r="K6" t="inlineStr">
        <is>
          <t>giao trinh Luat lao dong CB 2005 (1) tr.5-5 (0.9905)
giao trinh Luat lao dong CB 2005 (1) tr.4-5 (0.5222)</t>
        </is>
      </c>
    </row>
    <row r="7">
      <c r="A7" t="inlineStr">
        <is>
          <t>LAW_A_006</t>
        </is>
      </c>
      <c r="B7" t="inlineStr">
        <is>
          <t>giao trinh Luat lao dong CB 2005 (1)</t>
        </is>
      </c>
      <c r="C7" t="inlineStr">
        <is>
          <t>Concept</t>
        </is>
      </c>
      <c r="D7" t="inlineStr">
        <is>
          <t>Easy</t>
        </is>
      </c>
      <c r="E7" t="n">
        <v>1</v>
      </c>
      <c r="F7" t="n">
        <v>1</v>
      </c>
      <c r="G7" t="b">
        <v>1</v>
      </c>
      <c r="H7" t="n">
        <v>1</v>
      </c>
      <c r="I7" t="n">
        <v>0.8816000000000001</v>
      </c>
      <c r="J7" t="n">
        <v>0</v>
      </c>
      <c r="K7" t="inlineStr">
        <is>
          <t>giao trinh Luat lao dong CB 2005 (1) tr.5-5 (0.8816)
giao trinh Luat lao dong CB 2005 (1) tr.5-6 (0.4338)</t>
        </is>
      </c>
    </row>
    <row r="8">
      <c r="A8" t="inlineStr">
        <is>
          <t>LAW_A_007</t>
        </is>
      </c>
      <c r="B8" t="inlineStr">
        <is>
          <t>giao trinh Luat lao dong CB 2005 (1)</t>
        </is>
      </c>
      <c r="C8" t="inlineStr">
        <is>
          <t>Definition</t>
        </is>
      </c>
      <c r="D8" t="inlineStr">
        <is>
          <t>Easy</t>
        </is>
      </c>
      <c r="E8" t="n">
        <v>1</v>
      </c>
      <c r="F8" t="n">
        <v>1</v>
      </c>
      <c r="H8" t="n">
        <v>0</v>
      </c>
      <c r="I8" t="n">
        <v>0.7146</v>
      </c>
      <c r="J8" t="n">
        <v>0</v>
      </c>
      <c r="K8" t="inlineStr">
        <is>
          <t>giao trinh Luat lao dong CB 2005 (1) tr.13-13 (0.7146)
giao trinh Luat lao dong CB 2005 (1) tr.58-58 (0.4023)</t>
        </is>
      </c>
    </row>
    <row r="9">
      <c r="A9" t="inlineStr">
        <is>
          <t>LAW_A_008</t>
        </is>
      </c>
      <c r="B9" t="inlineStr">
        <is>
          <t>giao trinh Luat lao dong CB 2005 (1)</t>
        </is>
      </c>
      <c r="C9" t="inlineStr">
        <is>
          <t>Direct Fact</t>
        </is>
      </c>
      <c r="D9" t="inlineStr">
        <is>
          <t>Medium</t>
        </is>
      </c>
      <c r="E9" t="n">
        <v>0</v>
      </c>
      <c r="F9" t="n">
        <v>1</v>
      </c>
      <c r="G9" t="b">
        <v>1</v>
      </c>
      <c r="H9" t="n">
        <v>1</v>
      </c>
      <c r="I9" t="n">
        <v>0.9585</v>
      </c>
      <c r="J9" t="n">
        <v>0</v>
      </c>
      <c r="K9" t="inlineStr">
        <is>
          <t>so-tay-kien-thuc-phap-luat-lao-dong-cdi tr.19-19 (0.9585)
giao trinh Luat lao dong CB 2005 (1) tr.59-59 (0.9547)
Văn-bản-hợp-nhất-18-VBHN-VPQH tr.38-38 (0.9278)
ILO-VCCI_Labour-Law-Guide-Book-V04-Final tr.100-100 (0.9243)
giao trinh Luat lao dong CB 2005 (1) tr.80-80 (0.8973)</t>
        </is>
      </c>
    </row>
    <row r="10">
      <c r="A10" t="inlineStr">
        <is>
          <t>LAW_A_009</t>
        </is>
      </c>
      <c r="B10" t="inlineStr">
        <is>
          <t>giao trinh Luat lao dong CB 2005 (1)</t>
        </is>
      </c>
      <c r="C10" t="inlineStr">
        <is>
          <t>Direct Fact</t>
        </is>
      </c>
      <c r="D10" t="inlineStr">
        <is>
          <t>Medium</t>
        </is>
      </c>
      <c r="E10" t="n">
        <v>0</v>
      </c>
      <c r="F10" t="n">
        <v>1</v>
      </c>
      <c r="G10" t="b">
        <v>1</v>
      </c>
      <c r="H10" t="n">
        <v>1</v>
      </c>
      <c r="I10" t="n">
        <v>0.9454</v>
      </c>
      <c r="J10" t="n">
        <v>0</v>
      </c>
      <c r="K10" t="inlineStr">
        <is>
          <t>so-tay-kien-thuc-phap-luat-lao-dong-cdi tr.19-19 (0.9454)
Văn-bản-hợp-nhất-18-VBHN-VPQH tr.38-38 (0.9207)
ILO-VCCI_Labour-Law-Guide-Book-V04-Final tr.100-100 (0.9207)
giao trinh Luat lao dong CB 2005 (1) tr.59-59 (0.9096)
giao trinh Luat lao dong CB 2005 (1) tr.80-80 (0.8598)</t>
        </is>
      </c>
    </row>
    <row r="11">
      <c r="A11" t="inlineStr">
        <is>
          <t>LAW_A_010</t>
        </is>
      </c>
      <c r="B11" t="inlineStr">
        <is>
          <t>giao trinh Luat lao dong CB 2005 (1)</t>
        </is>
      </c>
      <c r="C11" t="inlineStr">
        <is>
          <t>Direct Fact</t>
        </is>
      </c>
      <c r="D11" t="inlineStr">
        <is>
          <t>Medium</t>
        </is>
      </c>
      <c r="E11" t="n">
        <v>0</v>
      </c>
      <c r="F11" t="n">
        <v>1</v>
      </c>
      <c r="G11" t="b">
        <v>1</v>
      </c>
      <c r="H11" t="n">
        <v>1</v>
      </c>
      <c r="I11" t="n">
        <v>0.9537</v>
      </c>
      <c r="J11" t="n">
        <v>0</v>
      </c>
      <c r="K11" t="inlineStr">
        <is>
          <t>so-tay-kien-thuc-phap-luat-lao-dong-cdi tr.19-19 (0.9537)
giao trinh Luat lao dong CB 2005 (1) tr.59-59 (0.9412)
Văn-bản-hợp-nhất-18-VBHN-VPQH tr.38-38 (0.9356)
luu-ban-nhap-tu-dong-3-4 tr.424-424 (0.9305)
ILO-VCCI_Labour-Law-Guide-Book-V04-Final tr.100-100 (0.9082)</t>
        </is>
      </c>
    </row>
    <row r="12">
      <c r="A12" t="inlineStr">
        <is>
          <t>LAW_A_011</t>
        </is>
      </c>
      <c r="B12" t="inlineStr">
        <is>
          <t>giao trinh Luat lao dong CB 2005 (1)</t>
        </is>
      </c>
      <c r="C12" t="inlineStr">
        <is>
          <t>Rule</t>
        </is>
      </c>
      <c r="D12" t="inlineStr">
        <is>
          <t>Medium</t>
        </is>
      </c>
      <c r="E12" t="n">
        <v>0</v>
      </c>
      <c r="F12" t="n">
        <v>0</v>
      </c>
      <c r="G12" t="b">
        <v>0</v>
      </c>
      <c r="H12" t="n">
        <v>0.6666666666666666</v>
      </c>
      <c r="I12" t="n">
        <v>0.6783</v>
      </c>
      <c r="J12" t="n">
        <v>0</v>
      </c>
      <c r="K12" t="inlineStr">
        <is>
          <t>ILO-VCCI_Labour-Law-Guide-Book-V04-Final tr.112-112 (0.6783)
ILO-VCCI_Labour-Law-Guide-Book-V04-Final tr.112-113 (0.4942)
luu-ban-nhap-tu-dong-3-4 tr.101-101 (0.4728)
ILO-VCCI_Labour-Law-Guide-Book-V04-Final tr.111-111 (0.436)
Văn-bản-hợp-nhất-18-VBHN-VPQH tr.40-41 (0.3987)</t>
        </is>
      </c>
    </row>
    <row r="13">
      <c r="A13" t="inlineStr">
        <is>
          <t>LAW_A_012</t>
        </is>
      </c>
      <c r="B13" t="inlineStr">
        <is>
          <t>giao trinh Luat lao dong CB 2005 (1)</t>
        </is>
      </c>
      <c r="C13" t="inlineStr">
        <is>
          <t>Concept</t>
        </is>
      </c>
      <c r="D13" t="inlineStr">
        <is>
          <t>Medium</t>
        </is>
      </c>
      <c r="E13" t="n">
        <v>1</v>
      </c>
      <c r="F13" t="n">
        <v>1</v>
      </c>
      <c r="H13" t="n">
        <v>1</v>
      </c>
      <c r="I13" t="n">
        <v>0.9808</v>
      </c>
      <c r="J13" t="n">
        <v>0</v>
      </c>
      <c r="K13" t="inlineStr">
        <is>
          <t>giao trinh Luat lao dong CB 2005 (1) tr.7-8 (0.9808)
giao trinh Luat lao dong CB 2005 (1) tr.7-7 (0.9449)
giao trinh Luat lao dong CB 2005 (1) tr.49-50 (0.3944)</t>
        </is>
      </c>
    </row>
    <row r="14">
      <c r="A14" t="inlineStr">
        <is>
          <t>LAW_A_013</t>
        </is>
      </c>
      <c r="B14" t="inlineStr">
        <is>
          <t>giao trinh Luat lao dong CB 2005 (1)</t>
        </is>
      </c>
      <c r="C14" t="inlineStr">
        <is>
          <t>Comparison</t>
        </is>
      </c>
      <c r="D14" t="inlineStr">
        <is>
          <t>Medium</t>
        </is>
      </c>
      <c r="E14" t="n">
        <v>1</v>
      </c>
      <c r="F14" t="n">
        <v>1</v>
      </c>
      <c r="H14" t="n">
        <v>0.75</v>
      </c>
      <c r="I14" t="n">
        <v>0.9941</v>
      </c>
      <c r="J14" t="n">
        <v>0</v>
      </c>
      <c r="K14" t="inlineStr">
        <is>
          <t>giao trinh Luat lao dong CB 2005 (1) tr.7-8 (0.9941)
giao trinh Luat lao dong CB 2005 (1) tr.7-7 (0.8212)</t>
        </is>
      </c>
    </row>
    <row r="15">
      <c r="A15" t="inlineStr">
        <is>
          <t>LAW_A_014</t>
        </is>
      </c>
      <c r="B15" t="inlineStr">
        <is>
          <t>giao trinh Luat lao dong CB 2005 (1)</t>
        </is>
      </c>
      <c r="C15" t="inlineStr">
        <is>
          <t>Concept</t>
        </is>
      </c>
      <c r="D15" t="inlineStr">
        <is>
          <t>Medium</t>
        </is>
      </c>
      <c r="E15" t="n">
        <v>1</v>
      </c>
      <c r="F15" t="n">
        <v>1</v>
      </c>
      <c r="G15" t="b">
        <v>1</v>
      </c>
      <c r="H15" t="n">
        <v>1</v>
      </c>
      <c r="I15" t="n">
        <v>0.9278999999999999</v>
      </c>
      <c r="J15" t="n">
        <v>0</v>
      </c>
      <c r="K15" t="inlineStr">
        <is>
          <t>giao trinh Luat lao dong CB 2005 (1) tr.5-5 (0.9279)
giao trinh Luat lao dong CB 2005 (1) tr.5-6 (0.8897)
giao trinh Luat lao dong CB 2005 (1) tr.95-96 (0.5862)
luu-ban-nhap-tu-dong-3-4 tr.41-41 (0.411)</t>
        </is>
      </c>
    </row>
    <row r="16">
      <c r="A16" t="inlineStr">
        <is>
          <t>LAW_A_015</t>
        </is>
      </c>
      <c r="B16" t="inlineStr">
        <is>
          <t>giao trinh Luat lao dong CB 2005 (1)</t>
        </is>
      </c>
      <c r="C16" t="inlineStr">
        <is>
          <t>Scenario-based</t>
        </is>
      </c>
      <c r="D16" t="inlineStr">
        <is>
          <t>Hard</t>
        </is>
      </c>
      <c r="E16" t="n">
        <v>1</v>
      </c>
      <c r="F16" t="n">
        <v>1</v>
      </c>
      <c r="G16" t="b">
        <v>1</v>
      </c>
      <c r="H16" t="n">
        <v>1</v>
      </c>
      <c r="I16" t="n">
        <v>0.9491000000000001</v>
      </c>
      <c r="J16" t="n">
        <v>0</v>
      </c>
      <c r="K16" t="inlineStr">
        <is>
          <t>giao trinh Luat lao dong CB 2005 (1) tr.5-6 (0.9491)
giao trinh Luat lao dong CB 2005 (1) tr.5-5 (0.8208)
giao trinh Luat lao dong CB 2005 (1) tr.95-96 (0.6305)
ILO-VCCI_Labour-Law-Guide-Book-V04-Final tr.10-10 (0.5306)
giao trinh Luat lao dong CB 2005 (1) tr.95-95 (0.422)</t>
        </is>
      </c>
    </row>
    <row r="17">
      <c r="A17" t="inlineStr">
        <is>
          <t>LAW_A_016</t>
        </is>
      </c>
      <c r="B17" t="inlineStr">
        <is>
          <t>giao trinh Luat lao dong CB 2005 (1)</t>
        </is>
      </c>
      <c r="C17" t="inlineStr">
        <is>
          <t>Scenario-based</t>
        </is>
      </c>
      <c r="D17" t="inlineStr">
        <is>
          <t>Hard</t>
        </is>
      </c>
      <c r="E17" t="n">
        <v>1</v>
      </c>
      <c r="F17" t="n">
        <v>1</v>
      </c>
      <c r="G17" t="b">
        <v>1</v>
      </c>
      <c r="H17" t="n">
        <v>0.6666666666666666</v>
      </c>
      <c r="I17" t="n">
        <v>0.9622000000000001</v>
      </c>
      <c r="J17" t="n">
        <v>0</v>
      </c>
      <c r="K17" t="inlineStr">
        <is>
          <t>giao trinh Luat lao dong CB 2005 (1) tr.3-3 (0.9622)
giao trinh Luat lao dong CB 2005 (1) tr.3-4 (0.6522)
luu-ban-nhap-tu-dong-3-4 tr.73-73 (0.5572)</t>
        </is>
      </c>
    </row>
    <row r="18">
      <c r="A18" t="inlineStr">
        <is>
          <t>LAW_A_017</t>
        </is>
      </c>
      <c r="B18" t="inlineStr">
        <is>
          <t>giao trinh Luat lao dong CB 2005 (1)</t>
        </is>
      </c>
      <c r="C18" t="inlineStr">
        <is>
          <t>Multi-hop</t>
        </is>
      </c>
      <c r="D18" t="inlineStr">
        <is>
          <t>Hard</t>
        </is>
      </c>
      <c r="E18" t="n">
        <v>1</v>
      </c>
      <c r="F18" t="n">
        <v>1</v>
      </c>
      <c r="G18" t="b">
        <v>0</v>
      </c>
      <c r="H18" t="n">
        <v>0.25</v>
      </c>
      <c r="I18" t="n">
        <v>0.5369</v>
      </c>
      <c r="J18" t="n">
        <v>0</v>
      </c>
      <c r="K18" t="inlineStr">
        <is>
          <t>giao trinh Luat lao dong CB 2005 (1) tr.7-8 (0.5369)
giao trinh Luat lao dong CB 2005 (1) tr.7-7 (0.4546)
giao trinh Luat lao dong CB 2005 (1) tr.182-182 (0.4193)</t>
        </is>
      </c>
    </row>
    <row r="19">
      <c r="A19" t="inlineStr">
        <is>
          <t>LAW_A_018</t>
        </is>
      </c>
      <c r="B19" t="inlineStr">
        <is>
          <t>giao trinh Luat lao dong CB 2005 (1)</t>
        </is>
      </c>
      <c r="C19" t="inlineStr">
        <is>
          <t>Multi-hop</t>
        </is>
      </c>
      <c r="D19" t="inlineStr">
        <is>
          <t>Hard</t>
        </is>
      </c>
      <c r="E19" t="n">
        <v>1</v>
      </c>
      <c r="F19" t="n">
        <v>1</v>
      </c>
      <c r="G19" t="b">
        <v>1</v>
      </c>
      <c r="H19" t="n">
        <v>1</v>
      </c>
      <c r="I19" t="n">
        <v>0.9696</v>
      </c>
      <c r="J19" t="n">
        <v>0</v>
      </c>
      <c r="K19" t="inlineStr">
        <is>
          <t>giao trinh Luat lao dong CB 2005 (1) tr.6-6 (0.9696)
giao trinh Luat lao dong CB 2005 (1) tr.13-13 (0.7965)
luu-ban-nhap-tu-dong-3-4 tr.60-60 (0.6755)
Văn-bản-hợp-nhất-18-VBHN-VPQH tr.76-76 (0.6727)
luu-ban-nhap-tu-dong-3-4 tr.133-133 (0.5837)</t>
        </is>
      </c>
    </row>
    <row r="20">
      <c r="A20" t="inlineStr">
        <is>
          <t>LAW_A_019</t>
        </is>
      </c>
      <c r="B20" t="inlineStr">
        <is>
          <t>giao trinh Luat lao dong CB 2005 (1)</t>
        </is>
      </c>
      <c r="C20" t="inlineStr">
        <is>
          <t>Source-awareness</t>
        </is>
      </c>
      <c r="D20" t="inlineStr">
        <is>
          <t>Hard</t>
        </is>
      </c>
      <c r="E20" t="n">
        <v>0</v>
      </c>
      <c r="F20" t="n">
        <v>0</v>
      </c>
      <c r="G20" t="b">
        <v>0</v>
      </c>
      <c r="H20" t="n">
        <v>0</v>
      </c>
      <c r="I20" t="n">
        <v>0.0264</v>
      </c>
      <c r="J20" t="n">
        <v>1</v>
      </c>
      <c r="K20" t="inlineStr"/>
    </row>
    <row r="21">
      <c r="A21" t="inlineStr">
        <is>
          <t>LAW_A_020</t>
        </is>
      </c>
      <c r="B21" t="inlineStr">
        <is>
          <t>giao trinh Luat lao dong CB 2005 (1)</t>
        </is>
      </c>
      <c r="C21" t="inlineStr">
        <is>
          <t>Synthesis</t>
        </is>
      </c>
      <c r="D21" t="inlineStr">
        <is>
          <t>Hard</t>
        </is>
      </c>
      <c r="E21" t="n">
        <v>1</v>
      </c>
      <c r="F21" t="n">
        <v>1</v>
      </c>
      <c r="H21" t="n">
        <v>0.6666666666666666</v>
      </c>
      <c r="I21" t="n">
        <v>0.9641999999999999</v>
      </c>
      <c r="J21" t="n">
        <v>0</v>
      </c>
      <c r="K21" t="inlineStr">
        <is>
          <t>giao trinh Luat lao dong CB 2005 (1) tr.3-3 (0.9642)
giao trinh Luat lao dong CB 2005 (1) tr.3-4 (0.9122)
giao trinh Luat lao dong CB 2005 (1) tr.4-5 (0.8773)
giao trinh Luat lao dong CB 2005 (1) tr.13-13 (0.8155)
giao trinh Luat lao dong CB 2005 (1) tr.3-3 (0.7594)</t>
        </is>
      </c>
    </row>
    <row r="22">
      <c r="A22" t="inlineStr">
        <is>
          <t>LAW_B_001</t>
        </is>
      </c>
      <c r="B22" t="inlineStr">
        <is>
          <t>so-tay-kien-thuc-phap-luat-lao-dong-cdi</t>
        </is>
      </c>
      <c r="C22" t="inlineStr">
        <is>
          <t>Direct Fact</t>
        </is>
      </c>
      <c r="D22" t="inlineStr">
        <is>
          <t>Easy</t>
        </is>
      </c>
      <c r="E22" t="n">
        <v>1</v>
      </c>
      <c r="F22" t="n">
        <v>1</v>
      </c>
      <c r="G22" t="b">
        <v>1</v>
      </c>
      <c r="H22" t="n">
        <v>1</v>
      </c>
      <c r="I22" t="n">
        <v>0.9907</v>
      </c>
      <c r="J22" t="n">
        <v>0</v>
      </c>
      <c r="K22" t="inlineStr">
        <is>
          <t>so-tay-kien-thuc-phap-luat-lao-dong-cdi tr.11-11 (0.9907)
so-tay-kien-thuc-phap-luat-lao-dong-cdi tr.49-49 (0.9852)
Văn-bản-hợp-nhất-18-VBHN-VPQH tr.7-7 (0.9647)
giao trinh Luat lao dong CB 2005 (1) tr.36-36 (0.9553)
so-tay-kien-thuc-phap-luat-lao-dong-cdi tr.6-6 (0.7975)</t>
        </is>
      </c>
    </row>
    <row r="23">
      <c r="A23" t="inlineStr">
        <is>
          <t>LAW_B_002</t>
        </is>
      </c>
      <c r="B23" t="inlineStr">
        <is>
          <t>so-tay-kien-thuc-phap-luat-lao-dong-cdi</t>
        </is>
      </c>
      <c r="C23" t="inlineStr">
        <is>
          <t>Concept</t>
        </is>
      </c>
      <c r="D23" t="inlineStr">
        <is>
          <t>Easy</t>
        </is>
      </c>
      <c r="E23" t="n">
        <v>1</v>
      </c>
      <c r="F23" t="n">
        <v>1</v>
      </c>
      <c r="H23" t="n">
        <v>0.6666666666666666</v>
      </c>
      <c r="I23" t="n">
        <v>0.466</v>
      </c>
      <c r="J23" t="n">
        <v>0</v>
      </c>
      <c r="K23" t="inlineStr">
        <is>
          <t>so-tay-kien-thuc-phap-luat-lao-dong-cdi tr.12-12 (0.466)</t>
        </is>
      </c>
    </row>
    <row r="24">
      <c r="A24" t="inlineStr">
        <is>
          <t>LAW_B_003</t>
        </is>
      </c>
      <c r="B24" t="inlineStr">
        <is>
          <t>so-tay-kien-thuc-phap-luat-lao-dong-cdi</t>
        </is>
      </c>
      <c r="C24" t="inlineStr">
        <is>
          <t>Direct Fact</t>
        </is>
      </c>
      <c r="D24" t="inlineStr">
        <is>
          <t>Easy</t>
        </is>
      </c>
      <c r="E24" t="n">
        <v>0</v>
      </c>
      <c r="F24" t="n">
        <v>1</v>
      </c>
      <c r="G24" t="b">
        <v>0</v>
      </c>
      <c r="H24" t="n">
        <v>1</v>
      </c>
      <c r="I24" t="n">
        <v>0.8821</v>
      </c>
      <c r="J24" t="n">
        <v>0</v>
      </c>
      <c r="K24" t="inlineStr">
        <is>
          <t>ILO-VCCI_Labour-Law-Guide-Book-V04-Final tr.18-18 (0.8821)
ILO-VCCI_Labour-Law-Guide-Book-V04-Final tr.19-19 (0.8691)
Văn-bản-hợp-nhất-18-VBHN-VPQH tr.9-9 (0.8088)
so-tay-kien-thuc-phap-luat-lao-dong-cdi tr.13-13 (0.8098)
luu-ban-nhap-tu-dong-3-4 tr.76-76 (0.7937)</t>
        </is>
      </c>
    </row>
    <row r="25">
      <c r="A25" t="inlineStr">
        <is>
          <t>LAW_B_004</t>
        </is>
      </c>
      <c r="B25" t="inlineStr">
        <is>
          <t>so-tay-kien-thuc-phap-luat-lao-dong-cdi</t>
        </is>
      </c>
      <c r="C25" t="inlineStr">
        <is>
          <t>Direct Fact</t>
        </is>
      </c>
      <c r="D25" t="inlineStr">
        <is>
          <t>Easy</t>
        </is>
      </c>
      <c r="E25" t="n">
        <v>0</v>
      </c>
      <c r="F25" t="n">
        <v>0</v>
      </c>
      <c r="G25" t="b">
        <v>0</v>
      </c>
      <c r="H25" t="n">
        <v>1</v>
      </c>
      <c r="I25" t="n">
        <v>0.4688</v>
      </c>
      <c r="J25" t="n">
        <v>0</v>
      </c>
      <c r="K25" t="inlineStr">
        <is>
          <t>luu-ban-nhap-tu-dong-3-4 tr.77-77 (0.4688)
Văn-bản-hợp-nhất-18-VBHN-VPQH tr.11-11 (0.3633)
ILO-VCCI_Labour-Law-Guide-Book-V04-Final tr.14-14 (0.4043)</t>
        </is>
      </c>
    </row>
    <row r="26">
      <c r="A26" t="inlineStr">
        <is>
          <t>LAW_B_005</t>
        </is>
      </c>
      <c r="B26" t="inlineStr">
        <is>
          <t>so-tay-kien-thuc-phap-luat-lao-dong-cdi</t>
        </is>
      </c>
      <c r="C26" t="inlineStr">
        <is>
          <t>Direct Fact</t>
        </is>
      </c>
      <c r="D26" t="inlineStr">
        <is>
          <t>Easy</t>
        </is>
      </c>
      <c r="E26" t="n">
        <v>1</v>
      </c>
      <c r="F26" t="n">
        <v>1</v>
      </c>
      <c r="G26" t="b">
        <v>0</v>
      </c>
      <c r="H26" t="n">
        <v>1</v>
      </c>
      <c r="I26" t="n">
        <v>0.8177</v>
      </c>
      <c r="J26" t="n">
        <v>0</v>
      </c>
      <c r="K26" t="inlineStr">
        <is>
          <t>so-tay-kien-thuc-phap-luat-lao-dong-cdi tr.17-19 (0.8177)
giao trinh Luat lao dong CB 2005 (1) tr.59-59 (0.7052)
ILO-VCCI_Labour-Law-Guide-Book-V04-Final tr.100-100 (0.5308)
ILO-VCCI_Labour-Law-Guide-Book-V04-Final tr.100-100 (0.5054)
ILO-VCCI_Labour-Law-Guide-Book-V04-Final tr.99-99 (0.4686)</t>
        </is>
      </c>
    </row>
    <row r="27">
      <c r="A27" t="inlineStr">
        <is>
          <t>LAW_B_006</t>
        </is>
      </c>
      <c r="B27" t="inlineStr">
        <is>
          <t>so-tay-kien-thuc-phap-luat-lao-dong-cdi</t>
        </is>
      </c>
      <c r="C27" t="inlineStr">
        <is>
          <t>Direct Fact</t>
        </is>
      </c>
      <c r="D27" t="inlineStr">
        <is>
          <t>Easy</t>
        </is>
      </c>
      <c r="E27" t="n">
        <v>0</v>
      </c>
      <c r="F27" t="n">
        <v>0</v>
      </c>
      <c r="G27" t="b">
        <v>0</v>
      </c>
      <c r="H27" t="n">
        <v>0</v>
      </c>
      <c r="I27" t="n">
        <v>0.1735</v>
      </c>
      <c r="J27" t="n">
        <v>1</v>
      </c>
      <c r="K27" t="inlineStr"/>
    </row>
    <row r="28">
      <c r="A28" t="inlineStr">
        <is>
          <t>LAW_B_007</t>
        </is>
      </c>
      <c r="B28" t="inlineStr">
        <is>
          <t>so-tay-kien-thuc-phap-luat-lao-dong-cdi</t>
        </is>
      </c>
      <c r="C28" t="inlineStr">
        <is>
          <t>Direct Fact</t>
        </is>
      </c>
      <c r="D28" t="inlineStr">
        <is>
          <t>Easy</t>
        </is>
      </c>
      <c r="E28" t="n">
        <v>0</v>
      </c>
      <c r="F28" t="n">
        <v>0</v>
      </c>
      <c r="G28" t="b">
        <v>0</v>
      </c>
      <c r="H28" t="n">
        <v>0.6666666666666666</v>
      </c>
      <c r="I28" t="n">
        <v>0.8539</v>
      </c>
      <c r="J28" t="n">
        <v>0</v>
      </c>
      <c r="K28" t="inlineStr">
        <is>
          <t>giao trinh Luat lao dong CB 2005 (1) tr.112-112 (0.8539)
luu-ban-nhap-tu-dong-3-4 tr.142-142 (0.7808)
luu-ban-nhap-tu-dong-3-4 tr.112-112 (0.7273)
giao trinh Luat lao dong CB 2005 (1) tr.113-113 (0.6928)
luu-ban-nhap-tu-dong-3-4 tr.161-161 (0.6555)</t>
        </is>
      </c>
    </row>
    <row r="29">
      <c r="A29" t="inlineStr">
        <is>
          <t>LAW_B_008</t>
        </is>
      </c>
      <c r="B29" t="inlineStr">
        <is>
          <t>so-tay-kien-thuc-phap-luat-lao-dong-cdi</t>
        </is>
      </c>
      <c r="C29" t="inlineStr">
        <is>
          <t>Scenario-based</t>
        </is>
      </c>
      <c r="D29" t="inlineStr">
        <is>
          <t>Medium</t>
        </is>
      </c>
      <c r="E29" t="n">
        <v>1</v>
      </c>
      <c r="F29" t="n">
        <v>1</v>
      </c>
      <c r="H29" t="n">
        <v>1</v>
      </c>
      <c r="I29" t="n">
        <v>0.9955000000000001</v>
      </c>
      <c r="J29" t="n">
        <v>0</v>
      </c>
      <c r="K29" t="inlineStr">
        <is>
          <t>so-tay-kien-thuc-phap-luat-lao-dong-cdi tr.11-11 (0.9955)
so-tay-kien-thuc-phap-luat-lao-dong-cdi tr.11-11 (0.9942)
giao trinh Luat lao dong CB 2005 (1) tr.36-36 (0.7948)
so-tay-kien-thuc-phap-luat-lao-dong-cdi tr.49-49 (0.5987)
ILO-VCCI_Labour-Law-Guide-Book-V04-Final tr.14-14 (0.4578)</t>
        </is>
      </c>
    </row>
    <row r="30">
      <c r="A30" t="inlineStr">
        <is>
          <t>LAW_B_009</t>
        </is>
      </c>
      <c r="B30" t="inlineStr">
        <is>
          <t>so-tay-kien-thuc-phap-luat-lao-dong-cdi</t>
        </is>
      </c>
      <c r="C30" t="inlineStr">
        <is>
          <t>Concept</t>
        </is>
      </c>
      <c r="D30" t="inlineStr">
        <is>
          <t>Medium</t>
        </is>
      </c>
      <c r="E30" t="n">
        <v>1</v>
      </c>
      <c r="F30" t="n">
        <v>1</v>
      </c>
      <c r="H30" t="n">
        <v>1</v>
      </c>
      <c r="I30" t="n">
        <v>0.9626</v>
      </c>
      <c r="J30" t="n">
        <v>0</v>
      </c>
      <c r="K30" t="inlineStr">
        <is>
          <t>so-tay-kien-thuc-phap-luat-lao-dong-cdi tr.11-12 (0.9626)
giao trinh Luat lao dong CB 2005 (1) tr.33-33 (0.8156)
giao trinh Luat lao dong CB 2005 (1) tr.51-52 (0.553)
giao trinh Luat lao dong CB 2005 (1) tr.49-50 (0.4473)
giao trinh Luat lao dong CB 2005 (1) tr.193-193 (0.3644)</t>
        </is>
      </c>
    </row>
    <row r="31">
      <c r="A31" t="inlineStr">
        <is>
          <t>LAW_B_010</t>
        </is>
      </c>
      <c r="B31" t="inlineStr">
        <is>
          <t>so-tay-kien-thuc-phap-luat-lao-dong-cdi</t>
        </is>
      </c>
      <c r="C31" t="inlineStr">
        <is>
          <t>Navigation</t>
        </is>
      </c>
      <c r="D31" t="inlineStr">
        <is>
          <t>Medium</t>
        </is>
      </c>
      <c r="E31" t="n">
        <v>1</v>
      </c>
      <c r="F31" t="n">
        <v>1</v>
      </c>
      <c r="G31" t="b">
        <v>0</v>
      </c>
      <c r="H31" t="n">
        <v>0.3333333333333333</v>
      </c>
      <c r="I31" t="n">
        <v>0.3578</v>
      </c>
      <c r="J31" t="n">
        <v>0</v>
      </c>
      <c r="K31" t="inlineStr">
        <is>
          <t>so-tay-kien-thuc-phap-luat-lao-dong-cdi tr.49-49 (0.3578)</t>
        </is>
      </c>
    </row>
    <row r="32">
      <c r="A32" t="inlineStr">
        <is>
          <t>LAW_B_011</t>
        </is>
      </c>
      <c r="B32" t="inlineStr">
        <is>
          <t>so-tay-kien-thuc-phap-luat-lao-dong-cdi</t>
        </is>
      </c>
      <c r="C32" t="inlineStr">
        <is>
          <t>Navigation</t>
        </is>
      </c>
      <c r="D32" t="inlineStr">
        <is>
          <t>Medium</t>
        </is>
      </c>
      <c r="E32" t="n">
        <v>0</v>
      </c>
      <c r="F32" t="n">
        <v>0</v>
      </c>
      <c r="G32" t="b">
        <v>0</v>
      </c>
      <c r="H32" t="n">
        <v>0.6666666666666666</v>
      </c>
      <c r="I32" t="n">
        <v>0.4017</v>
      </c>
      <c r="J32" t="n">
        <v>0</v>
      </c>
      <c r="K32" t="inlineStr">
        <is>
          <t>Văn-bản-hợp-nhất-18-VBHN-VPQH tr.76-76 (0.4017)
giao trinh Luat lao dong CB 2005 (1) tr.206-207 (0.393)</t>
        </is>
      </c>
    </row>
    <row r="33">
      <c r="A33" t="inlineStr">
        <is>
          <t>LAW_B_012</t>
        </is>
      </c>
      <c r="B33" t="inlineStr">
        <is>
          <t>so-tay-kien-thuc-phap-luat-lao-dong-cdi</t>
        </is>
      </c>
      <c r="C33" t="inlineStr">
        <is>
          <t>Navigation</t>
        </is>
      </c>
      <c r="D33" t="inlineStr">
        <is>
          <t>Medium</t>
        </is>
      </c>
      <c r="E33" t="n">
        <v>1</v>
      </c>
      <c r="F33" t="n">
        <v>1</v>
      </c>
      <c r="G33" t="b">
        <v>0</v>
      </c>
      <c r="H33" t="n">
        <v>1</v>
      </c>
      <c r="I33" t="n">
        <v>0.8872</v>
      </c>
      <c r="J33" t="n">
        <v>0</v>
      </c>
      <c r="K33" t="inlineStr">
        <is>
          <t>so-tay-kien-thuc-phap-luat-lao-dong-cdi tr.37-39 (0.8872)
luu-ban-nhap-tu-dong-3-4 tr.439-440 (0.6854)
luu-ban-nhap-tu-dong-3-4 tr.116-116 (0.6805)
luu-ban-nhap-tu-dong-3-4 tr.231-231 (0.5607)
Văn-bản-hợp-nhất-18-VBHN-VPQH tr.52-52 (0.5334)</t>
        </is>
      </c>
    </row>
    <row r="34">
      <c r="A34" t="inlineStr">
        <is>
          <t>LAW_B_013</t>
        </is>
      </c>
      <c r="B34" t="inlineStr">
        <is>
          <t>so-tay-kien-thuc-phap-luat-lao-dong-cdi</t>
        </is>
      </c>
      <c r="C34" t="inlineStr">
        <is>
          <t>Navigation</t>
        </is>
      </c>
      <c r="D34" t="inlineStr">
        <is>
          <t>Medium</t>
        </is>
      </c>
      <c r="E34" t="n">
        <v>0</v>
      </c>
      <c r="F34" t="n">
        <v>1</v>
      </c>
      <c r="G34" t="b">
        <v>0</v>
      </c>
      <c r="H34" t="n">
        <v>1</v>
      </c>
      <c r="I34" t="n">
        <v>0.9530999999999999</v>
      </c>
      <c r="J34" t="n">
        <v>0</v>
      </c>
      <c r="K34" t="inlineStr">
        <is>
          <t>ILO-VCCI_Labour-Law-Guide-Book-V04-Final tr.47-47 (0.9531)
ILO-VCCI_Labour-Law-Guide-Book-V04-Final tr.46-47 (0.9454)
so-tay-kien-thuc-phap-luat-lao-dong-cdi tr.34-34 (0.7922)
ILO-VCCI_Labour-Law-Guide-Book-V04-Final tr.6-6 (0.7576)
luu-ban-nhap-tu-dong-3-4 tr.429-429 (0.6692)</t>
        </is>
      </c>
    </row>
    <row r="35">
      <c r="A35" t="inlineStr">
        <is>
          <t>LAW_B_014</t>
        </is>
      </c>
      <c r="B35" t="inlineStr">
        <is>
          <t>so-tay-kien-thuc-phap-luat-lao-dong-cdi</t>
        </is>
      </c>
      <c r="C35" t="inlineStr">
        <is>
          <t>Navigation</t>
        </is>
      </c>
      <c r="D35" t="inlineStr">
        <is>
          <t>Medium</t>
        </is>
      </c>
      <c r="E35" t="n">
        <v>0</v>
      </c>
      <c r="F35" t="n">
        <v>0</v>
      </c>
      <c r="G35" t="b">
        <v>0</v>
      </c>
      <c r="H35" t="n">
        <v>0</v>
      </c>
      <c r="I35" t="n">
        <v>0.0414</v>
      </c>
      <c r="J35" t="n">
        <v>1</v>
      </c>
      <c r="K35" t="inlineStr"/>
    </row>
    <row r="36">
      <c r="A36" t="inlineStr">
        <is>
          <t>LAW_B_015</t>
        </is>
      </c>
      <c r="B36" t="inlineStr">
        <is>
          <t>so-tay-kien-thuc-phap-luat-lao-dong-cdi</t>
        </is>
      </c>
      <c r="C36" t="inlineStr">
        <is>
          <t>Multi-hop</t>
        </is>
      </c>
      <c r="D36" t="inlineStr">
        <is>
          <t>Hard</t>
        </is>
      </c>
      <c r="E36" t="n">
        <v>0</v>
      </c>
      <c r="F36" t="n">
        <v>0</v>
      </c>
      <c r="G36" t="b">
        <v>0</v>
      </c>
      <c r="H36" t="n">
        <v>0</v>
      </c>
      <c r="I36" t="n">
        <v>0.2844</v>
      </c>
      <c r="J36" t="n">
        <v>1</v>
      </c>
      <c r="K36" t="inlineStr"/>
    </row>
    <row r="37">
      <c r="A37" t="inlineStr">
        <is>
          <t>LAW_B_016</t>
        </is>
      </c>
      <c r="B37" t="inlineStr">
        <is>
          <t>so-tay-kien-thuc-phap-luat-lao-dong-cdi</t>
        </is>
      </c>
      <c r="C37" t="inlineStr">
        <is>
          <t>Multi-hop</t>
        </is>
      </c>
      <c r="D37" t="inlineStr">
        <is>
          <t>Hard</t>
        </is>
      </c>
      <c r="E37" t="n">
        <v>0</v>
      </c>
      <c r="F37" t="n">
        <v>0</v>
      </c>
      <c r="G37" t="b">
        <v>0</v>
      </c>
      <c r="H37" t="n">
        <v>0</v>
      </c>
      <c r="I37" t="n">
        <v>0.0711</v>
      </c>
      <c r="J37" t="n">
        <v>1</v>
      </c>
      <c r="K37" t="inlineStr"/>
    </row>
    <row r="38">
      <c r="A38" t="inlineStr">
        <is>
          <t>LAW_B_017</t>
        </is>
      </c>
      <c r="B38" t="inlineStr">
        <is>
          <t>so-tay-kien-thuc-phap-luat-lao-dong-cdi</t>
        </is>
      </c>
      <c r="C38" t="inlineStr">
        <is>
          <t>False Premise</t>
        </is>
      </c>
      <c r="D38" t="inlineStr">
        <is>
          <t>Hard</t>
        </is>
      </c>
      <c r="E38" t="n">
        <v>1</v>
      </c>
      <c r="F38" t="n">
        <v>1</v>
      </c>
      <c r="H38" t="n">
        <v>1</v>
      </c>
      <c r="I38" t="n">
        <v>0.606</v>
      </c>
      <c r="J38" t="n">
        <v>0</v>
      </c>
      <c r="K38" t="inlineStr">
        <is>
          <t>so-tay-kien-thuc-phap-luat-lao-dong-cdi tr.49-49 (0.606)
Văn-bản-hợp-nhất-18-VBHN-VPQH tr.7-7 (0.44)
giao trinh Luat lao dong CB 2005 (1) tr.36-36 (0.375)</t>
        </is>
      </c>
    </row>
    <row r="39">
      <c r="A39" t="inlineStr">
        <is>
          <t>LAW_B_018</t>
        </is>
      </c>
      <c r="B39" t="inlineStr">
        <is>
          <t>so-tay-kien-thuc-phap-luat-lao-dong-cdi</t>
        </is>
      </c>
      <c r="C39" t="inlineStr">
        <is>
          <t>Source-awareness</t>
        </is>
      </c>
      <c r="D39" t="inlineStr">
        <is>
          <t>Hard</t>
        </is>
      </c>
      <c r="E39" t="n">
        <v>0</v>
      </c>
      <c r="F39" t="n">
        <v>0</v>
      </c>
      <c r="G39" t="b">
        <v>0</v>
      </c>
      <c r="H39" t="n">
        <v>0</v>
      </c>
      <c r="I39" t="n">
        <v>0.0455</v>
      </c>
      <c r="J39" t="n">
        <v>1</v>
      </c>
      <c r="K39" t="inlineStr"/>
    </row>
    <row r="40">
      <c r="A40" t="inlineStr">
        <is>
          <t>LAW_B_019</t>
        </is>
      </c>
      <c r="B40" t="inlineStr">
        <is>
          <t>so-tay-kien-thuc-phap-luat-lao-dong-cdi</t>
        </is>
      </c>
      <c r="C40" t="inlineStr">
        <is>
          <t>Synthesis</t>
        </is>
      </c>
      <c r="D40" t="inlineStr">
        <is>
          <t>Hard</t>
        </is>
      </c>
      <c r="E40" t="n">
        <v>0</v>
      </c>
      <c r="F40" t="n">
        <v>0</v>
      </c>
      <c r="G40" t="b">
        <v>0</v>
      </c>
      <c r="H40" t="n">
        <v>0</v>
      </c>
      <c r="I40" t="n">
        <v>0.1224</v>
      </c>
      <c r="J40" t="n">
        <v>1</v>
      </c>
      <c r="K40" t="inlineStr"/>
    </row>
    <row r="41">
      <c r="A41" t="inlineStr">
        <is>
          <t>LAW_B_020</t>
        </is>
      </c>
      <c r="B41" t="inlineStr">
        <is>
          <t>so-tay-kien-thuc-phap-luat-lao-dong-cdi</t>
        </is>
      </c>
      <c r="C41" t="inlineStr">
        <is>
          <t>Synthesis</t>
        </is>
      </c>
      <c r="D41" t="inlineStr">
        <is>
          <t>Hard</t>
        </is>
      </c>
      <c r="E41" t="n">
        <v>0</v>
      </c>
      <c r="F41" t="n">
        <v>0</v>
      </c>
      <c r="G41" t="b">
        <v>0</v>
      </c>
      <c r="H41" t="n">
        <v>0</v>
      </c>
      <c r="I41" t="n">
        <v>0.0235</v>
      </c>
      <c r="J41" t="n">
        <v>1</v>
      </c>
      <c r="K41" t="inlineStr"/>
    </row>
    <row r="42">
      <c r="A42" t="inlineStr">
        <is>
          <t>LAW_C_001</t>
        </is>
      </c>
      <c r="B42" t="inlineStr">
        <is>
          <t>luu-ban-nhap-tu-dong-3-4</t>
        </is>
      </c>
      <c r="C42" t="inlineStr">
        <is>
          <t>Direct Fact</t>
        </is>
      </c>
      <c r="D42" t="inlineStr">
        <is>
          <t>Easy</t>
        </is>
      </c>
      <c r="E42" t="n">
        <v>1</v>
      </c>
      <c r="F42" t="n">
        <v>1</v>
      </c>
      <c r="G42" t="b">
        <v>1</v>
      </c>
      <c r="H42" t="n">
        <v>0.5</v>
      </c>
      <c r="I42" t="n">
        <v>0.3582</v>
      </c>
      <c r="J42" t="n">
        <v>0</v>
      </c>
      <c r="K42" t="inlineStr">
        <is>
          <t>luu-ban-nhap-tu-dong-3-4 tr.1-1 (0.3582)</t>
        </is>
      </c>
    </row>
    <row r="43">
      <c r="A43" t="inlineStr">
        <is>
          <t>LAW_C_002</t>
        </is>
      </c>
      <c r="B43" t="inlineStr">
        <is>
          <t>luu-ban-nhap-tu-dong-3-4</t>
        </is>
      </c>
      <c r="C43" t="inlineStr">
        <is>
          <t>Direct Fact</t>
        </is>
      </c>
      <c r="D43" t="inlineStr">
        <is>
          <t>Easy</t>
        </is>
      </c>
      <c r="E43" t="n">
        <v>0</v>
      </c>
      <c r="F43" t="n">
        <v>0</v>
      </c>
      <c r="G43" t="b">
        <v>0</v>
      </c>
      <c r="H43" t="n">
        <v>0</v>
      </c>
      <c r="I43" t="n">
        <v>0.2153</v>
      </c>
      <c r="J43" t="n">
        <v>1</v>
      </c>
      <c r="K43" t="inlineStr"/>
    </row>
    <row r="44">
      <c r="A44" t="inlineStr">
        <is>
          <t>LAW_C_003</t>
        </is>
      </c>
      <c r="B44" t="inlineStr">
        <is>
          <t>luu-ban-nhap-tu-dong-3-4</t>
        </is>
      </c>
      <c r="C44" t="inlineStr">
        <is>
          <t>Direct Fact</t>
        </is>
      </c>
      <c r="D44" t="inlineStr">
        <is>
          <t>Easy</t>
        </is>
      </c>
      <c r="E44" t="n">
        <v>1</v>
      </c>
      <c r="F44" t="n">
        <v>1</v>
      </c>
      <c r="G44" t="b">
        <v>0</v>
      </c>
      <c r="H44" t="n">
        <v>0.5</v>
      </c>
      <c r="I44" t="n">
        <v>0.8496</v>
      </c>
      <c r="J44" t="n">
        <v>0</v>
      </c>
      <c r="K44" t="inlineStr">
        <is>
          <t>luu-ban-nhap-tu-dong-3-4 tr.560-560 (0.8496)
luu-ban-nhap-tu-dong-3-4 tr.160-160 (0.8397)
luu-ban-nhap-tu-dong-3-4 tr.160-160 (0.72)
luu-ban-nhap-tu-dong-3-4 tr.177-177 (0.6968)
luu-ban-nhap-tu-dong-3-4 tr.170-170 (0.5984)</t>
        </is>
      </c>
    </row>
    <row r="45">
      <c r="A45" t="inlineStr">
        <is>
          <t>LAW_C_004</t>
        </is>
      </c>
      <c r="B45" t="inlineStr">
        <is>
          <t>luu-ban-nhap-tu-dong-3-4</t>
        </is>
      </c>
      <c r="C45" t="inlineStr">
        <is>
          <t>Direct Fact</t>
        </is>
      </c>
      <c r="D45" t="inlineStr">
        <is>
          <t>Easy</t>
        </is>
      </c>
      <c r="E45" t="n">
        <v>0</v>
      </c>
      <c r="F45" t="n">
        <v>0</v>
      </c>
      <c r="G45" t="b">
        <v>0</v>
      </c>
      <c r="H45" t="n">
        <v>0</v>
      </c>
      <c r="I45" t="n">
        <v>0.0302</v>
      </c>
      <c r="J45" t="n">
        <v>1</v>
      </c>
      <c r="K45" t="inlineStr"/>
    </row>
    <row r="46">
      <c r="A46" t="inlineStr">
        <is>
          <t>LAW_C_005</t>
        </is>
      </c>
      <c r="B46" t="inlineStr">
        <is>
          <t>luu-ban-nhap-tu-dong-3-4</t>
        </is>
      </c>
      <c r="C46" t="inlineStr">
        <is>
          <t>Direct Fact</t>
        </is>
      </c>
      <c r="D46" t="inlineStr">
        <is>
          <t>Easy</t>
        </is>
      </c>
      <c r="E46" t="n">
        <v>0</v>
      </c>
      <c r="F46" t="n">
        <v>0</v>
      </c>
      <c r="G46" t="b">
        <v>0</v>
      </c>
      <c r="H46" t="n">
        <v>0</v>
      </c>
      <c r="I46" t="n">
        <v>0.1991</v>
      </c>
      <c r="J46" t="n">
        <v>1</v>
      </c>
      <c r="K46" t="inlineStr"/>
    </row>
    <row r="47">
      <c r="A47" t="inlineStr">
        <is>
          <t>LAW_C_006</t>
        </is>
      </c>
      <c r="B47" t="inlineStr">
        <is>
          <t>luu-ban-nhap-tu-dong-3-4</t>
        </is>
      </c>
      <c r="C47" t="inlineStr">
        <is>
          <t>Direct Fact</t>
        </is>
      </c>
      <c r="D47" t="inlineStr">
        <is>
          <t>Easy</t>
        </is>
      </c>
      <c r="E47" t="n">
        <v>1</v>
      </c>
      <c r="F47" t="n">
        <v>1</v>
      </c>
      <c r="G47" t="b">
        <v>1</v>
      </c>
      <c r="H47" t="n">
        <v>1</v>
      </c>
      <c r="I47" t="n">
        <v>0.9769</v>
      </c>
      <c r="J47" t="n">
        <v>0</v>
      </c>
      <c r="K47" t="inlineStr">
        <is>
          <t>luu-ban-nhap-tu-dong-3-4 tr.77-77 (0.9769)
luu-ban-nhap-tu-dong-3-4 tr.4-4 (0.9751)
giao trinh Luat lao dong CB 2005 (1) tr.209-209 (0.9705)
luu-ban-nhap-tu-dong-3-4 tr.572-572 (0.9702)
so-tay-kien-thuc-phap-luat-lao-dong-cdi tr.53-53 (0.9646)</t>
        </is>
      </c>
    </row>
    <row r="48">
      <c r="A48" t="inlineStr">
        <is>
          <t>LAW_C_007</t>
        </is>
      </c>
      <c r="B48" t="inlineStr">
        <is>
          <t>luu-ban-nhap-tu-dong-3-4</t>
        </is>
      </c>
      <c r="C48" t="inlineStr">
        <is>
          <t>Direct Fact</t>
        </is>
      </c>
      <c r="D48" t="inlineStr">
        <is>
          <t>Easy</t>
        </is>
      </c>
      <c r="E48" t="n">
        <v>1</v>
      </c>
      <c r="F48" t="n">
        <v>1</v>
      </c>
      <c r="G48" t="b">
        <v>1</v>
      </c>
      <c r="H48" t="n">
        <v>1</v>
      </c>
      <c r="I48" t="n">
        <v>0.9832</v>
      </c>
      <c r="J48" t="n">
        <v>0</v>
      </c>
      <c r="K48" t="inlineStr">
        <is>
          <t>luu-ban-nhap-tu-dong-3-4 tr.4-4 (0.9832)
luu-ban-nhap-tu-dong-3-4 tr.54-54 (0.9827)
luu-ban-nhap-tu-dong-3-4 tr.4-4 (0.9765)
luu-ban-nhap-tu-dong-3-4 tr.4-4 (0.9747)
Văn-bản-hợp-nhất-18-VBHN-VPQH tr.67-67 (0.9322)</t>
        </is>
      </c>
    </row>
    <row r="49">
      <c r="A49" t="inlineStr">
        <is>
          <t>LAW_C_008</t>
        </is>
      </c>
      <c r="B49" t="inlineStr">
        <is>
          <t>luu-ban-nhap-tu-dong-3-4</t>
        </is>
      </c>
      <c r="C49" t="inlineStr">
        <is>
          <t>Definition</t>
        </is>
      </c>
      <c r="D49" t="inlineStr">
        <is>
          <t>Medium</t>
        </is>
      </c>
      <c r="E49" t="n">
        <v>0</v>
      </c>
      <c r="F49" t="n">
        <v>1</v>
      </c>
      <c r="G49" t="b">
        <v>1</v>
      </c>
      <c r="H49" t="n">
        <v>1</v>
      </c>
      <c r="I49" t="n">
        <v>0.9039</v>
      </c>
      <c r="J49" t="n">
        <v>0</v>
      </c>
      <c r="K49" t="inlineStr">
        <is>
          <t>ILO-VCCI_Labour-Law-Guide-Book-V04-Final tr.17-17 (0.9039)
luu-ban-nhap-tu-dong-3-4 tr.6-7 (0.892)
ILO-VCCI_Labour-Law-Guide-Book-V04-Final tr.11-11 (0.827)
luu-ban-nhap-tu-dong-3-4 tr.70-70 (0.8042)
ILO-VCCI_Labour-Law-Guide-Book-V04-Final tr.31-31 (0.6053)</t>
        </is>
      </c>
    </row>
    <row r="50">
      <c r="A50" t="inlineStr">
        <is>
          <t>LAW_C_009</t>
        </is>
      </c>
      <c r="B50" t="inlineStr">
        <is>
          <t>luu-ban-nhap-tu-dong-3-4</t>
        </is>
      </c>
      <c r="C50" t="inlineStr">
        <is>
          <t>Definition</t>
        </is>
      </c>
      <c r="D50" t="inlineStr">
        <is>
          <t>Medium</t>
        </is>
      </c>
      <c r="E50" t="n">
        <v>0</v>
      </c>
      <c r="F50" t="n">
        <v>0</v>
      </c>
      <c r="G50" t="b">
        <v>0</v>
      </c>
      <c r="H50" t="n">
        <v>1</v>
      </c>
      <c r="I50" t="n">
        <v>0.9957</v>
      </c>
      <c r="J50" t="n">
        <v>0</v>
      </c>
      <c r="K50" t="inlineStr">
        <is>
          <t>ILO-VCCI_Labour-Law-Guide-Book-V04-Final tr.11-11 (0.9957)
Văn-bản-hợp-nhất-18-VBHN-VPQH tr.2-3 (0.8934)
ILO-VCCI_Labour-Law-Guide-Book-V04-Final tr.11-11 (0.8732)
ILO-VCCI_Labour-Law-Guide-Book-V04-Final tr.30-30 (0.7279)
ILO-VCCI_Labour-Law-Guide-Book-V04-Final tr.27-27 (0.5981)</t>
        </is>
      </c>
    </row>
    <row r="51">
      <c r="A51" t="inlineStr">
        <is>
          <t>LAW_C_010</t>
        </is>
      </c>
      <c r="B51" t="inlineStr">
        <is>
          <t>luu-ban-nhap-tu-dong-3-4</t>
        </is>
      </c>
      <c r="C51" t="inlineStr">
        <is>
          <t>Direct Fact</t>
        </is>
      </c>
      <c r="D51" t="inlineStr">
        <is>
          <t>Medium</t>
        </is>
      </c>
      <c r="E51" t="n">
        <v>0</v>
      </c>
      <c r="F51" t="n">
        <v>0</v>
      </c>
      <c r="G51" t="b">
        <v>0</v>
      </c>
      <c r="H51" t="n">
        <v>0.75</v>
      </c>
      <c r="I51" t="n">
        <v>0.9903999999999999</v>
      </c>
      <c r="J51" t="n">
        <v>0</v>
      </c>
      <c r="K51" t="inlineStr">
        <is>
          <t>ILO-VCCI_Labour-Law-Guide-Book-V04-Final tr.113-113 (0.9904)
ILO-VCCI_Labour-Law-Guide-Book-V04-Final tr.70-70 (0.7581)
ILO-VCCI_Labour-Law-Guide-Book-V04-Final tr.11-11 (0.721)
ILO-VCCI_Labour-Law-Guide-Book-V04-Final tr.55-55 (0.7156)
ILO-VCCI_Labour-Law-Guide-Book-V04-Final tr.32-33 (0.6985)</t>
        </is>
      </c>
    </row>
    <row r="52">
      <c r="A52" t="inlineStr">
        <is>
          <t>LAW_C_011</t>
        </is>
      </c>
      <c r="B52" t="inlineStr">
        <is>
          <t>luu-ban-nhap-tu-dong-3-4</t>
        </is>
      </c>
      <c r="C52" t="inlineStr">
        <is>
          <t>Navigation</t>
        </is>
      </c>
      <c r="D52" t="inlineStr">
        <is>
          <t>Medium</t>
        </is>
      </c>
      <c r="E52" t="n">
        <v>1</v>
      </c>
      <c r="F52" t="n">
        <v>1</v>
      </c>
      <c r="G52" t="b">
        <v>1</v>
      </c>
      <c r="H52" t="n">
        <v>1</v>
      </c>
      <c r="I52" t="n">
        <v>0.972</v>
      </c>
      <c r="J52" t="n">
        <v>0</v>
      </c>
      <c r="K52" t="inlineStr">
        <is>
          <t>luu-ban-nhap-tu-dong-3-4 tr.2-2 (0.972)
luu-ban-nhap-tu-dong-3-4 tr.3-3 (0.9626)
luu-ban-nhap-tu-dong-3-4 tr.2-2 (0.9615)
luu-ban-nhap-tu-dong-3-4 tr.483-483 (0.8638)
luu-ban-nhap-tu-dong-3-4 tr.394-394 (0.7815)</t>
        </is>
      </c>
    </row>
    <row r="53">
      <c r="A53" t="inlineStr">
        <is>
          <t>LAW_C_012</t>
        </is>
      </c>
      <c r="B53" t="inlineStr">
        <is>
          <t>luu-ban-nhap-tu-dong-3-4</t>
        </is>
      </c>
      <c r="C53" t="inlineStr">
        <is>
          <t>Navigation</t>
        </is>
      </c>
      <c r="D53" t="inlineStr">
        <is>
          <t>Medium</t>
        </is>
      </c>
      <c r="E53" t="n">
        <v>1</v>
      </c>
      <c r="F53" t="n">
        <v>1</v>
      </c>
      <c r="G53" t="b">
        <v>1</v>
      </c>
      <c r="H53" t="n">
        <v>1</v>
      </c>
      <c r="I53" t="n">
        <v>0.8687</v>
      </c>
      <c r="J53" t="n">
        <v>0</v>
      </c>
      <c r="K53" t="inlineStr">
        <is>
          <t>luu-ban-nhap-tu-dong-3-4 tr.2-2 (0.8687)
luu-ban-nhap-tu-dong-3-4 tr.2-2 (0.5359)
luu-ban-nhap-tu-dong-3-4 tr.413-414 (0.4326)
ILO-VCCI_Labour-Law-Guide-Book-V04-Final tr.22-24 (0.4101)
ILO-VCCI_Labour-Law-Guide-Book-V04-Final tr.93-93 (0.375)</t>
        </is>
      </c>
    </row>
    <row r="54">
      <c r="A54" t="inlineStr">
        <is>
          <t>LAW_C_013</t>
        </is>
      </c>
      <c r="B54" t="inlineStr">
        <is>
          <t>luu-ban-nhap-tu-dong-3-4</t>
        </is>
      </c>
      <c r="C54" t="inlineStr">
        <is>
          <t>Navigation</t>
        </is>
      </c>
      <c r="D54" t="inlineStr">
        <is>
          <t>Medium</t>
        </is>
      </c>
      <c r="E54" t="n">
        <v>0</v>
      </c>
      <c r="F54" t="n">
        <v>1</v>
      </c>
      <c r="G54" t="b">
        <v>0</v>
      </c>
      <c r="H54" t="n">
        <v>0.75</v>
      </c>
      <c r="I54" t="n">
        <v>0.995</v>
      </c>
      <c r="J54" t="n">
        <v>0</v>
      </c>
      <c r="K54" t="inlineStr">
        <is>
          <t>so-tay-kien-thuc-phap-luat-lao-dong-cdi tr.52-52 (0.995)
luu-ban-nhap-tu-dong-3-4 tr.568-568 (0.9929)
luu-ban-nhap-tu-dong-3-4 tr.570-570 (0.9919)
luu-ban-nhap-tu-dong-3-4 tr.556-556 (0.9913)
luu-ban-nhap-tu-dong-3-4 tr.568-569 (0.9868)</t>
        </is>
      </c>
    </row>
    <row r="55">
      <c r="A55" t="inlineStr">
        <is>
          <t>LAW_C_014</t>
        </is>
      </c>
      <c r="B55" t="inlineStr">
        <is>
          <t>luu-ban-nhap-tu-dong-3-4</t>
        </is>
      </c>
      <c r="C55" t="inlineStr">
        <is>
          <t>Navigation</t>
        </is>
      </c>
      <c r="D55" t="inlineStr">
        <is>
          <t>Medium</t>
        </is>
      </c>
      <c r="E55" t="n">
        <v>0</v>
      </c>
      <c r="F55" t="n">
        <v>1</v>
      </c>
      <c r="G55" t="b">
        <v>1</v>
      </c>
      <c r="H55" t="n">
        <v>1</v>
      </c>
      <c r="I55" t="n">
        <v>0.9898</v>
      </c>
      <c r="J55" t="n">
        <v>0</v>
      </c>
      <c r="K55" t="inlineStr">
        <is>
          <t>so-tay-kien-thuc-phap-luat-lao-dong-cdi tr.52-52 (0.9898)
luu-ban-nhap-tu-dong-3-4 tr.5-5 (0.9888)
luu-ban-nhap-tu-dong-3-4 tr.739-739 (0.9854)
luu-ban-nhap-tu-dong-3-4 tr.737-737 (0.9744)
luu-ban-nhap-tu-dong-3-4 tr.737-738 (0.9603)</t>
        </is>
      </c>
    </row>
    <row r="56">
      <c r="A56" t="inlineStr">
        <is>
          <t>LAW_C_015</t>
        </is>
      </c>
      <c r="B56" t="inlineStr">
        <is>
          <t>luu-ban-nhap-tu-dong-3-4</t>
        </is>
      </c>
      <c r="C56" t="inlineStr">
        <is>
          <t>Multi-hop</t>
        </is>
      </c>
      <c r="D56" t="inlineStr">
        <is>
          <t>Hard</t>
        </is>
      </c>
      <c r="E56" t="n">
        <v>0</v>
      </c>
      <c r="F56" t="n">
        <v>0</v>
      </c>
      <c r="G56" t="b">
        <v>0</v>
      </c>
      <c r="H56" t="n">
        <v>0</v>
      </c>
      <c r="I56" t="n">
        <v>0.2853</v>
      </c>
      <c r="J56" t="n">
        <v>1</v>
      </c>
      <c r="K56" t="inlineStr"/>
    </row>
    <row r="57">
      <c r="A57" t="inlineStr">
        <is>
          <t>LAW_C_016</t>
        </is>
      </c>
      <c r="B57" t="inlineStr">
        <is>
          <t>luu-ban-nhap-tu-dong-3-4</t>
        </is>
      </c>
      <c r="C57" t="inlineStr">
        <is>
          <t>Temporal Reasoning</t>
        </is>
      </c>
      <c r="D57" t="inlineStr">
        <is>
          <t>Hard</t>
        </is>
      </c>
      <c r="E57" t="n">
        <v>0</v>
      </c>
      <c r="F57" t="n">
        <v>0</v>
      </c>
      <c r="G57" t="b">
        <v>0</v>
      </c>
      <c r="H57" t="n">
        <v>0</v>
      </c>
      <c r="I57" t="n">
        <v>0.078</v>
      </c>
      <c r="J57" t="n">
        <v>1</v>
      </c>
      <c r="K57" t="inlineStr"/>
    </row>
    <row r="58">
      <c r="A58" t="inlineStr">
        <is>
          <t>LAW_C_017</t>
        </is>
      </c>
      <c r="B58" t="inlineStr">
        <is>
          <t>luu-ban-nhap-tu-dong-3-4</t>
        </is>
      </c>
      <c r="C58" t="inlineStr">
        <is>
          <t>False Premise</t>
        </is>
      </c>
      <c r="D58" t="inlineStr">
        <is>
          <t>Hard</t>
        </is>
      </c>
      <c r="E58" t="n">
        <v>0</v>
      </c>
      <c r="F58" t="n">
        <v>0</v>
      </c>
      <c r="G58" t="b">
        <v>0</v>
      </c>
      <c r="H58" t="n">
        <v>0.25</v>
      </c>
      <c r="I58" t="n">
        <v>0.4754</v>
      </c>
      <c r="J58" t="n">
        <v>0</v>
      </c>
      <c r="K58" t="inlineStr">
        <is>
          <t>Văn-bản-hợp-nhất-18-VBHN-VPQH tr.1-1 (0.4754)</t>
        </is>
      </c>
    </row>
    <row r="59">
      <c r="A59" t="inlineStr">
        <is>
          <t>LAW_C_018</t>
        </is>
      </c>
      <c r="B59" t="inlineStr">
        <is>
          <t>luu-ban-nhap-tu-dong-3-4</t>
        </is>
      </c>
      <c r="C59" t="inlineStr">
        <is>
          <t>Source Selection</t>
        </is>
      </c>
      <c r="D59" t="inlineStr">
        <is>
          <t>Hard</t>
        </is>
      </c>
      <c r="E59" t="n">
        <v>0</v>
      </c>
      <c r="F59" t="n">
        <v>0</v>
      </c>
      <c r="G59" t="b">
        <v>0</v>
      </c>
      <c r="H59" t="n">
        <v>0</v>
      </c>
      <c r="I59" t="n">
        <v>0.5387999999999999</v>
      </c>
      <c r="J59" t="n">
        <v>0</v>
      </c>
      <c r="K59" t="inlineStr">
        <is>
          <t>ILO-VCCI_Labour-Law-Guide-Book-V04-Final tr.57-58 (0.5388)
ILO-VCCI_Labour-Law-Guide-Book-V04-Final tr.131-131 (0.4831)</t>
        </is>
      </c>
    </row>
    <row r="60">
      <c r="A60" t="inlineStr">
        <is>
          <t>LAW_C_019</t>
        </is>
      </c>
      <c r="B60" t="inlineStr">
        <is>
          <t>luu-ban-nhap-tu-dong-3-4</t>
        </is>
      </c>
      <c r="C60" t="inlineStr">
        <is>
          <t>Multi-document</t>
        </is>
      </c>
      <c r="D60" t="inlineStr">
        <is>
          <t>Hard</t>
        </is>
      </c>
      <c r="E60" t="n">
        <v>0</v>
      </c>
      <c r="F60" t="n">
        <v>0</v>
      </c>
      <c r="G60" t="b">
        <v>0</v>
      </c>
      <c r="H60" t="n">
        <v>0</v>
      </c>
      <c r="I60" t="n">
        <v>0.1444</v>
      </c>
      <c r="J60" t="n">
        <v>1</v>
      </c>
      <c r="K60" t="inlineStr"/>
    </row>
    <row r="61">
      <c r="A61" t="inlineStr">
        <is>
          <t>LAW_C_020</t>
        </is>
      </c>
      <c r="B61" t="inlineStr">
        <is>
          <t>luu-ban-nhap-tu-dong-3-4</t>
        </is>
      </c>
      <c r="C61" t="inlineStr">
        <is>
          <t>Multi-document</t>
        </is>
      </c>
      <c r="D61" t="inlineStr">
        <is>
          <t>Hard</t>
        </is>
      </c>
      <c r="E61" t="n">
        <v>0</v>
      </c>
      <c r="F61" t="n">
        <v>0</v>
      </c>
      <c r="G61" t="b">
        <v>0</v>
      </c>
      <c r="H61" t="n">
        <v>0</v>
      </c>
      <c r="I61" t="n">
        <v>0.1011</v>
      </c>
      <c r="J61" t="n">
        <v>1</v>
      </c>
      <c r="K61" t="inlineStr"/>
    </row>
    <row r="62">
      <c r="A62" t="inlineStr">
        <is>
          <t>LAW_D_001</t>
        </is>
      </c>
      <c r="B62" t="inlineStr">
        <is>
          <t>ILO-VCCI_Labour-Law-Guide-Book-V04-Final</t>
        </is>
      </c>
      <c r="C62" t="inlineStr">
        <is>
          <t>Direct Fact</t>
        </is>
      </c>
      <c r="D62" t="inlineStr">
        <is>
          <t>Easy</t>
        </is>
      </c>
      <c r="E62" t="n">
        <v>1</v>
      </c>
      <c r="F62" t="n">
        <v>1</v>
      </c>
      <c r="H62" t="n">
        <v>1</v>
      </c>
      <c r="I62" t="n">
        <v>0.7927999999999999</v>
      </c>
      <c r="J62" t="n">
        <v>0</v>
      </c>
      <c r="K62" t="inlineStr">
        <is>
          <t>ILO-VCCI_Labour-Law-Guide-Book-V04-Final tr.4-4 (0.7928)
ILO-VCCI_Labour-Law-Guide-Book-V04-Final tr.3-3 (0.6319)
ILO-VCCI_Labour-Law-Guide-Book-V04-Final tr.4-4 (0.5045)</t>
        </is>
      </c>
    </row>
    <row r="63">
      <c r="A63" t="inlineStr">
        <is>
          <t>LAW_D_002</t>
        </is>
      </c>
      <c r="B63" t="inlineStr">
        <is>
          <t>ILO-VCCI_Labour-Law-Guide-Book-V04-Final</t>
        </is>
      </c>
      <c r="C63" t="inlineStr">
        <is>
          <t>Direct Fact</t>
        </is>
      </c>
      <c r="D63" t="inlineStr">
        <is>
          <t>Easy</t>
        </is>
      </c>
      <c r="E63" t="n">
        <v>1</v>
      </c>
      <c r="F63" t="n">
        <v>1</v>
      </c>
      <c r="H63" t="n">
        <v>1</v>
      </c>
      <c r="I63" t="n">
        <v>0.7989000000000001</v>
      </c>
      <c r="J63" t="n">
        <v>0</v>
      </c>
      <c r="K63" t="inlineStr">
        <is>
          <t>ILO-VCCI_Labour-Law-Guide-Book-V04-Final tr.4-4 (0.7989)
ILO-VCCI_Labour-Law-Guide-Book-V04-Final tr.131-131 (0.489)</t>
        </is>
      </c>
    </row>
    <row r="64">
      <c r="A64" t="inlineStr">
        <is>
          <t>LAW_D_003</t>
        </is>
      </c>
      <c r="B64" t="inlineStr">
        <is>
          <t>ILO-VCCI_Labour-Law-Guide-Book-V04-Final</t>
        </is>
      </c>
      <c r="C64" t="inlineStr">
        <is>
          <t>List</t>
        </is>
      </c>
      <c r="D64" t="inlineStr">
        <is>
          <t>Easy</t>
        </is>
      </c>
      <c r="E64" t="n">
        <v>1</v>
      </c>
      <c r="F64" t="n">
        <v>1</v>
      </c>
      <c r="G64" t="b">
        <v>1</v>
      </c>
      <c r="H64" t="n">
        <v>0.8571428571428571</v>
      </c>
      <c r="I64" t="n">
        <v>0.9776</v>
      </c>
      <c r="J64" t="n">
        <v>0</v>
      </c>
      <c r="K64" t="inlineStr">
        <is>
          <t>ILO-VCCI_Labour-Law-Guide-Book-V04-Final tr.4-4 (0.9776)
ILO-VCCI_Labour-Law-Guide-Book-V04-Final tr.4-4 (0.9514)
ILO-VCCI_Labour-Law-Guide-Book-V04-Final tr.131-131 (0.5574)</t>
        </is>
      </c>
    </row>
    <row r="65">
      <c r="A65" t="inlineStr">
        <is>
          <t>LAW_D_004</t>
        </is>
      </c>
      <c r="B65" t="inlineStr">
        <is>
          <t>ILO-VCCI_Labour-Law-Guide-Book-V04-Final</t>
        </is>
      </c>
      <c r="C65" t="inlineStr">
        <is>
          <t>Direct Fact</t>
        </is>
      </c>
      <c r="D65" t="inlineStr">
        <is>
          <t>Easy</t>
        </is>
      </c>
      <c r="E65" t="n">
        <v>1</v>
      </c>
      <c r="F65" t="n">
        <v>1</v>
      </c>
      <c r="H65" t="n">
        <v>1</v>
      </c>
      <c r="I65" t="n">
        <v>0.3751</v>
      </c>
      <c r="J65" t="n">
        <v>0</v>
      </c>
      <c r="K65" t="inlineStr">
        <is>
          <t>ILO-VCCI_Labour-Law-Guide-Book-V04-Final tr.4-4 (0.3751)</t>
        </is>
      </c>
    </row>
    <row r="66">
      <c r="A66" t="inlineStr">
        <is>
          <t>LAW_D_005</t>
        </is>
      </c>
      <c r="B66" t="inlineStr">
        <is>
          <t>ILO-VCCI_Labour-Law-Guide-Book-V04-Final</t>
        </is>
      </c>
      <c r="C66" t="inlineStr">
        <is>
          <t>Direct Fact</t>
        </is>
      </c>
      <c r="D66" t="inlineStr">
        <is>
          <t>Easy</t>
        </is>
      </c>
      <c r="E66" t="n">
        <v>1</v>
      </c>
      <c r="F66" t="n">
        <v>1</v>
      </c>
      <c r="G66" t="b">
        <v>1</v>
      </c>
      <c r="H66" t="n">
        <v>1</v>
      </c>
      <c r="I66" t="n">
        <v>0.9076</v>
      </c>
      <c r="J66" t="n">
        <v>0</v>
      </c>
      <c r="K66" t="inlineStr">
        <is>
          <t>ILO-VCCI_Labour-Law-Guide-Book-V04-Final tr.4-4 (0.9076)
ILO-VCCI_Labour-Law-Guide-Book-V04-Final tr.4-4 (0.4911)</t>
        </is>
      </c>
    </row>
    <row r="67">
      <c r="A67" t="inlineStr">
        <is>
          <t>LAW_D_006</t>
        </is>
      </c>
      <c r="B67" t="inlineStr">
        <is>
          <t>ILO-VCCI_Labour-Law-Guide-Book-V04-Final</t>
        </is>
      </c>
      <c r="C67" t="inlineStr">
        <is>
          <t>Direct Fact</t>
        </is>
      </c>
      <c r="D67" t="inlineStr">
        <is>
          <t>Easy</t>
        </is>
      </c>
      <c r="E67" t="n">
        <v>1</v>
      </c>
      <c r="F67" t="n">
        <v>1</v>
      </c>
      <c r="G67" t="b">
        <v>1</v>
      </c>
      <c r="H67" t="n">
        <v>1</v>
      </c>
      <c r="I67" t="n">
        <v>0.9711</v>
      </c>
      <c r="J67" t="n">
        <v>0</v>
      </c>
      <c r="K67" t="inlineStr">
        <is>
          <t>ILO-VCCI_Labour-Law-Guide-Book-V04-Final tr.7-7 (0.9711)
ILO-VCCI_Labour-Law-Guide-Book-V04-Final tr.7-7 (0.9607)
ILO-VCCI_Labour-Law-Guide-Book-V04-Final tr.7-7 (0.9419)
ILO-VCCI_Labour-Law-Guide-Book-V04-Final tr.4-4 (0.9178)
ILO-VCCI_Labour-Law-Guide-Book-V04-Final tr.131-131 (0.8626)</t>
        </is>
      </c>
    </row>
    <row r="68">
      <c r="A68" t="inlineStr">
        <is>
          <t>LAW_D_007</t>
        </is>
      </c>
      <c r="B68" t="inlineStr">
        <is>
          <t>ILO-VCCI_Labour-Law-Guide-Book-V04-Final</t>
        </is>
      </c>
      <c r="C68" t="inlineStr">
        <is>
          <t>Direct Fact</t>
        </is>
      </c>
      <c r="D68" t="inlineStr">
        <is>
          <t>Easy</t>
        </is>
      </c>
      <c r="E68" t="n">
        <v>1</v>
      </c>
      <c r="F68" t="n">
        <v>1</v>
      </c>
      <c r="G68" t="b">
        <v>1</v>
      </c>
      <c r="H68" t="n">
        <v>1</v>
      </c>
      <c r="I68" t="n">
        <v>0.9897</v>
      </c>
      <c r="J68" t="n">
        <v>0</v>
      </c>
      <c r="K68" t="inlineStr">
        <is>
          <t>ILO-VCCI_Labour-Law-Guide-Book-V04-Final tr.4-4 (0.9897)
ILO-VCCI_Labour-Law-Guide-Book-V04-Final tr.8-8 (0.9803)
ILO-VCCI_Labour-Law-Guide-Book-V04-Final tr.4-4 (0.9699)
Văn-bản-hợp-nhất-18-VBHN-VPQH tr.38-38 (0.9034)
ILO-VCCI_Labour-Law-Guide-Book-V04-Final tr.99-99 (0.88)</t>
        </is>
      </c>
    </row>
    <row r="69">
      <c r="A69" t="inlineStr">
        <is>
          <t>LAW_D_008</t>
        </is>
      </c>
      <c r="B69" t="inlineStr">
        <is>
          <t>ILO-VCCI_Labour-Law-Guide-Book-V04-Final</t>
        </is>
      </c>
      <c r="C69" t="inlineStr">
        <is>
          <t>Concept</t>
        </is>
      </c>
      <c r="D69" t="inlineStr">
        <is>
          <t>Medium</t>
        </is>
      </c>
      <c r="E69" t="n">
        <v>1</v>
      </c>
      <c r="F69" t="n">
        <v>1</v>
      </c>
      <c r="G69" t="b">
        <v>1</v>
      </c>
      <c r="H69" t="n">
        <v>0.6666666666666666</v>
      </c>
      <c r="I69" t="n">
        <v>0.9978</v>
      </c>
      <c r="J69" t="n">
        <v>0</v>
      </c>
      <c r="K69" t="inlineStr">
        <is>
          <t>ILO-VCCI_Labour-Law-Guide-Book-V04-Final tr.4-4 (0.9978)
ILO-VCCI_Labour-Law-Guide-Book-V04-Final tr.131-131 (0.9893)
ILO-VCCI_Labour-Law-Guide-Book-V04-Final tr.3-3 (0.9866)
ILO-VCCI_Labour-Law-Guide-Book-V04-Final tr.83-83 (0.9473)
ILO-VCCI_Labour-Law-Guide-Book-V04-Final tr.4-4 (0.9429)</t>
        </is>
      </c>
    </row>
    <row r="70">
      <c r="A70" t="inlineStr">
        <is>
          <t>LAW_D_009</t>
        </is>
      </c>
      <c r="B70" t="inlineStr">
        <is>
          <t>ILO-VCCI_Labour-Law-Guide-Book-V04-Final</t>
        </is>
      </c>
      <c r="C70" t="inlineStr">
        <is>
          <t>Navigation</t>
        </is>
      </c>
      <c r="D70" t="inlineStr">
        <is>
          <t>Medium</t>
        </is>
      </c>
      <c r="E70" t="n">
        <v>1</v>
      </c>
      <c r="F70" t="n">
        <v>1</v>
      </c>
      <c r="G70" t="b">
        <v>1</v>
      </c>
      <c r="H70" t="n">
        <v>1</v>
      </c>
      <c r="I70" t="n">
        <v>0.629</v>
      </c>
      <c r="J70" t="n">
        <v>0</v>
      </c>
      <c r="K70" t="inlineStr">
        <is>
          <t>ILO-VCCI_Labour-Law-Guide-Book-V04-Final tr.10-10 (0.629)
ILO-VCCI_Labour-Law-Guide-Book-V04-Final tr.5-5 (0.4961)
ILO-VCCI_Labour-Law-Guide-Book-V04-Final tr.10-11 (0.455)</t>
        </is>
      </c>
    </row>
    <row r="71">
      <c r="A71" t="inlineStr">
        <is>
          <t>LAW_D_010</t>
        </is>
      </c>
      <c r="B71" t="inlineStr">
        <is>
          <t>ILO-VCCI_Labour-Law-Guide-Book-V04-Final</t>
        </is>
      </c>
      <c r="C71" t="inlineStr">
        <is>
          <t>Navigation</t>
        </is>
      </c>
      <c r="D71" t="inlineStr">
        <is>
          <t>Medium</t>
        </is>
      </c>
      <c r="E71" t="n">
        <v>1</v>
      </c>
      <c r="F71" t="n">
        <v>1</v>
      </c>
      <c r="G71" t="b">
        <v>0</v>
      </c>
      <c r="H71" t="n">
        <v>1</v>
      </c>
      <c r="I71" t="n">
        <v>0.9129</v>
      </c>
      <c r="J71" t="n">
        <v>0</v>
      </c>
      <c r="K71" t="inlineStr">
        <is>
          <t>ILO-VCCI_Labour-Law-Guide-Book-V04-Final tr.32-33 (0.9129)
ILO-VCCI_Labour-Law-Guide-Book-V04-Final tr.32-32 (0.9015)
luu-ban-nhap-tu-dong-3-4 tr.419-419 (0.798)
ILO-VCCI_Labour-Law-Guide-Book-V04-Final tr.46-47 (0.6872)
ILO-VCCI_Labour-Law-Guide-Book-V04-Final tr.124-124 (0.6683)</t>
        </is>
      </c>
    </row>
    <row r="72">
      <c r="A72" t="inlineStr">
        <is>
          <t>LAW_D_011</t>
        </is>
      </c>
      <c r="B72" t="inlineStr">
        <is>
          <t>ILO-VCCI_Labour-Law-Guide-Book-V04-Final</t>
        </is>
      </c>
      <c r="C72" t="inlineStr">
        <is>
          <t>Navigation</t>
        </is>
      </c>
      <c r="D72" t="inlineStr">
        <is>
          <t>Medium</t>
        </is>
      </c>
      <c r="E72" t="n">
        <v>1</v>
      </c>
      <c r="F72" t="n">
        <v>1</v>
      </c>
      <c r="G72" t="b">
        <v>0</v>
      </c>
      <c r="H72" t="n">
        <v>1</v>
      </c>
      <c r="I72" t="n">
        <v>0.9012</v>
      </c>
      <c r="J72" t="n">
        <v>0</v>
      </c>
      <c r="K72" t="inlineStr">
        <is>
          <t>ILO-VCCI_Labour-Law-Guide-Book-V04-Final tr.34-34 (0.9012)
ILO-VCCI_Labour-Law-Guide-Book-V04-Final tr.39-39 (0.893)
luu-ban-nhap-tu-dong-3-4 tr.419-420 (0.8908)
luu-ban-nhap-tu-dong-3-4 tr.420-420 (0.8908)
ILO-VCCI_Labour-Law-Guide-Book-V04-Final tr.68-68 (0.8432)</t>
        </is>
      </c>
    </row>
    <row r="73">
      <c r="A73" t="inlineStr">
        <is>
          <t>LAW_D_012</t>
        </is>
      </c>
      <c r="B73" t="inlineStr">
        <is>
          <t>ILO-VCCI_Labour-Law-Guide-Book-V04-Final</t>
        </is>
      </c>
      <c r="C73" t="inlineStr">
        <is>
          <t>Navigation</t>
        </is>
      </c>
      <c r="D73" t="inlineStr">
        <is>
          <t>Medium</t>
        </is>
      </c>
      <c r="E73" t="n">
        <v>0</v>
      </c>
      <c r="F73" t="n">
        <v>1</v>
      </c>
      <c r="G73" t="b">
        <v>0</v>
      </c>
      <c r="H73" t="n">
        <v>1</v>
      </c>
      <c r="I73" t="n">
        <v>0.8993</v>
      </c>
      <c r="J73" t="n">
        <v>0</v>
      </c>
      <c r="K73" t="inlineStr">
        <is>
          <t>giao trinh Luat lao dong CB 2005 (1) tr.92-93 (0.8993)
ILO-VCCI_Labour-Law-Guide-Book-V04-Final tr.53-53 (0.872)
luu-ban-nhap-tu-dong-3-4 tr.426-426 (0.7889)
giao trinh Luat lao dong CB 2005 (1) tr.91-91 (0.6221)
luu-ban-nhap-tu-dong-3-4 tr.40-40 (0.5988)</t>
        </is>
      </c>
    </row>
    <row r="74">
      <c r="A74" t="inlineStr">
        <is>
          <t>LAW_D_013</t>
        </is>
      </c>
      <c r="B74" t="inlineStr">
        <is>
          <t>ILO-VCCI_Labour-Law-Guide-Book-V04-Final</t>
        </is>
      </c>
      <c r="C74" t="inlineStr">
        <is>
          <t>Navigation</t>
        </is>
      </c>
      <c r="D74" t="inlineStr">
        <is>
          <t>Medium</t>
        </is>
      </c>
      <c r="E74" t="n">
        <v>0</v>
      </c>
      <c r="F74" t="n">
        <v>0</v>
      </c>
      <c r="G74" t="b">
        <v>0</v>
      </c>
      <c r="H74" t="n">
        <v>0</v>
      </c>
      <c r="I74" t="n">
        <v>0.3239</v>
      </c>
      <c r="J74" t="n">
        <v>1</v>
      </c>
      <c r="K74" t="inlineStr"/>
    </row>
    <row r="75">
      <c r="A75" t="inlineStr">
        <is>
          <t>LAW_D_014</t>
        </is>
      </c>
      <c r="B75" t="inlineStr">
        <is>
          <t>ILO-VCCI_Labour-Law-Guide-Book-V04-Final</t>
        </is>
      </c>
      <c r="C75" t="inlineStr">
        <is>
          <t>Scope</t>
        </is>
      </c>
      <c r="D75" t="inlineStr">
        <is>
          <t>Medium</t>
        </is>
      </c>
      <c r="E75" t="n">
        <v>1</v>
      </c>
      <c r="F75" t="n">
        <v>1</v>
      </c>
      <c r="H75" t="n">
        <v>1</v>
      </c>
      <c r="I75" t="n">
        <v>0.9962</v>
      </c>
      <c r="J75" t="n">
        <v>0</v>
      </c>
      <c r="K75" t="inlineStr">
        <is>
          <t>ILO-VCCI_Labour-Law-Guide-Book-V04-Final tr.4-4 (0.9962)
luu-ban-nhap-tu-dong-3-4 tr.170-170 (0.639)
ILO-VCCI_Labour-Law-Guide-Book-V04-Final tr.131-131 (0.6096)
Văn-bản-hợp-nhất-18-VBHN-VPQH tr.22-22 (0.4841)
luu-ban-nhap-tu-dong-3-4 tr.363-363 (0.4912)</t>
        </is>
      </c>
    </row>
    <row r="76">
      <c r="A76" t="inlineStr">
        <is>
          <t>LAW_D_015</t>
        </is>
      </c>
      <c r="B76" t="inlineStr">
        <is>
          <t>ILO-VCCI_Labour-Law-Guide-Book-V04-Final</t>
        </is>
      </c>
      <c r="C76" t="inlineStr">
        <is>
          <t>Multi-hop</t>
        </is>
      </c>
      <c r="D76" t="inlineStr">
        <is>
          <t>Hard</t>
        </is>
      </c>
      <c r="E76" t="n">
        <v>1</v>
      </c>
      <c r="F76" t="n">
        <v>1</v>
      </c>
      <c r="G76" t="b">
        <v>0</v>
      </c>
      <c r="H76" t="n">
        <v>0.6666666666666666</v>
      </c>
      <c r="I76" t="n">
        <v>0.7433</v>
      </c>
      <c r="J76" t="n">
        <v>0</v>
      </c>
      <c r="K76" t="inlineStr">
        <is>
          <t>ILO-VCCI_Labour-Law-Guide-Book-V04-Final tr.36-36 (0.7433)
ILO-VCCI_Labour-Law-Guide-Book-V04-Final tr.38-38 (0.642)
ILO-VCCI_Labour-Law-Guide-Book-V04-Final tr.33-33 (0.6049)
ILO-VCCI_Labour-Law-Guide-Book-V04-Final tr.6-6 (0.5582)
ILO-VCCI_Labour-Law-Guide-Book-V04-Final tr.38-38 (0.4097)</t>
        </is>
      </c>
    </row>
    <row r="77">
      <c r="A77" t="inlineStr">
        <is>
          <t>LAW_D_016</t>
        </is>
      </c>
      <c r="B77" t="inlineStr">
        <is>
          <t>ILO-VCCI_Labour-Law-Guide-Book-V04-Final</t>
        </is>
      </c>
      <c r="C77" t="inlineStr">
        <is>
          <t>Multi-hop</t>
        </is>
      </c>
      <c r="D77" t="inlineStr">
        <is>
          <t>Hard</t>
        </is>
      </c>
      <c r="E77" t="n">
        <v>1</v>
      </c>
      <c r="F77" t="n">
        <v>1</v>
      </c>
      <c r="G77" t="b">
        <v>1</v>
      </c>
      <c r="H77" t="n">
        <v>1</v>
      </c>
      <c r="I77" t="n">
        <v>0.7563</v>
      </c>
      <c r="J77" t="n">
        <v>0</v>
      </c>
      <c r="K77" t="inlineStr">
        <is>
          <t>ILO-VCCI_Labour-Law-Guide-Book-V04-Final tr.4-4 (0.7563)
ILO-VCCI_Labour-Law-Guide-Book-V04-Final tr.101-101 (0.7003)
luu-ban-nhap-tu-dong-3-4 tr.424-425 (0.4553)
ILO-VCCI_Labour-Law-Guide-Book-V04-Final tr.4-4 (0.3808)
so-tay-kien-thuc-phap-luat-lao-dong-cdi tr.19-19 (0.3533)</t>
        </is>
      </c>
    </row>
    <row r="78">
      <c r="A78" t="inlineStr">
        <is>
          <t>LAW_D_017</t>
        </is>
      </c>
      <c r="B78" t="inlineStr">
        <is>
          <t>ILO-VCCI_Labour-Law-Guide-Book-V04-Final</t>
        </is>
      </c>
      <c r="C78" t="inlineStr">
        <is>
          <t>Comparison</t>
        </is>
      </c>
      <c r="D78" t="inlineStr">
        <is>
          <t>Hard</t>
        </is>
      </c>
      <c r="E78" t="n">
        <v>0</v>
      </c>
      <c r="F78" t="n">
        <v>0</v>
      </c>
      <c r="H78" t="n">
        <v>0</v>
      </c>
      <c r="I78" t="n">
        <v>0.0838</v>
      </c>
      <c r="J78" t="n">
        <v>1</v>
      </c>
      <c r="K78" t="inlineStr"/>
    </row>
    <row r="79">
      <c r="A79" t="inlineStr">
        <is>
          <t>LAW_D_018</t>
        </is>
      </c>
      <c r="B79" t="inlineStr">
        <is>
          <t>ILO-VCCI_Labour-Law-Guide-Book-V04-Final</t>
        </is>
      </c>
      <c r="C79" t="inlineStr">
        <is>
          <t>Source-awareness</t>
        </is>
      </c>
      <c r="D79" t="inlineStr">
        <is>
          <t>Hard</t>
        </is>
      </c>
      <c r="E79" t="n">
        <v>1</v>
      </c>
      <c r="F79" t="n">
        <v>1</v>
      </c>
      <c r="H79" t="n">
        <v>0.25</v>
      </c>
      <c r="I79" t="n">
        <v>0.6836</v>
      </c>
      <c r="J79" t="n">
        <v>0</v>
      </c>
      <c r="K79" t="inlineStr">
        <is>
          <t>ILO-VCCI_Labour-Law-Guide-Book-V04-Final tr.4-4 (0.6836)
ILO-VCCI_Labour-Law-Guide-Book-V04-Final tr.131-131 (0.5247)
ILO-VCCI_Labour-Law-Guide-Book-V04-Final tr.3-3 (0.3804)</t>
        </is>
      </c>
    </row>
    <row r="80">
      <c r="A80" t="inlineStr">
        <is>
          <t>LAW_D_019</t>
        </is>
      </c>
      <c r="B80" t="inlineStr">
        <is>
          <t>ILO-VCCI_Labour-Law-Guide-Book-V04-Final</t>
        </is>
      </c>
      <c r="C80" t="inlineStr">
        <is>
          <t>Synthesis</t>
        </is>
      </c>
      <c r="D80" t="inlineStr">
        <is>
          <t>Hard</t>
        </is>
      </c>
      <c r="E80" t="n">
        <v>1</v>
      </c>
      <c r="F80" t="n">
        <v>1</v>
      </c>
      <c r="G80" t="b">
        <v>1</v>
      </c>
      <c r="H80" t="n">
        <v>0.6</v>
      </c>
      <c r="I80" t="n">
        <v>0.8133</v>
      </c>
      <c r="J80" t="n">
        <v>0</v>
      </c>
      <c r="K80" t="inlineStr">
        <is>
          <t>ILO-VCCI_Labour-Law-Guide-Book-V04-Final tr.4-4 (0.8133)
ILO-VCCI_Labour-Law-Guide-Book-V04-Final tr.131-131 (0.7355)
ILO-VCCI_Labour-Law-Guide-Book-V04-Final tr.3-3 (0.6454)
ILO-VCCI_Labour-Law-Guide-Book-V04-Final tr.4-4 (0.4033)</t>
        </is>
      </c>
    </row>
    <row r="81">
      <c r="A81" t="inlineStr">
        <is>
          <t>LAW_D_020</t>
        </is>
      </c>
      <c r="B81" t="inlineStr">
        <is>
          <t>ILO-VCCI_Labour-Law-Guide-Book-V04-Final</t>
        </is>
      </c>
      <c r="C81" t="inlineStr">
        <is>
          <t>Scenario-based</t>
        </is>
      </c>
      <c r="D81" t="inlineStr">
        <is>
          <t>Hard</t>
        </is>
      </c>
      <c r="E81" t="n">
        <v>0</v>
      </c>
      <c r="F81" t="n">
        <v>0</v>
      </c>
      <c r="G81" t="b">
        <v>0</v>
      </c>
      <c r="H81" t="n">
        <v>0</v>
      </c>
      <c r="I81" t="n">
        <v>0.2139</v>
      </c>
      <c r="J81" t="n">
        <v>1</v>
      </c>
      <c r="K81" t="inlineStr"/>
    </row>
    <row r="82">
      <c r="A82" t="inlineStr">
        <is>
          <t>LAW_E_001</t>
        </is>
      </c>
      <c r="B82" t="inlineStr">
        <is>
          <t>Văn-bản-hợp-nhất-18-VBHN-VPQH</t>
        </is>
      </c>
      <c r="C82" t="inlineStr">
        <is>
          <t>Direct Fact</t>
        </is>
      </c>
      <c r="D82" t="inlineStr">
        <is>
          <t>Easy</t>
        </is>
      </c>
      <c r="E82" t="n">
        <v>0</v>
      </c>
      <c r="F82" t="n">
        <v>1</v>
      </c>
      <c r="G82" t="b">
        <v>1</v>
      </c>
      <c r="H82" t="n">
        <v>1</v>
      </c>
      <c r="I82" t="n">
        <v>0.9834000000000001</v>
      </c>
      <c r="J82" t="n">
        <v>0</v>
      </c>
      <c r="K82" t="inlineStr">
        <is>
          <t>luu-ban-nhap-tu-dong-3-4 tr.432-433 (0.9834)
Văn-bản-hợp-nhất-18-VBHN-VPQH tr.86-86 (0.9673)
luu-ban-nhap-tu-dong-3-4 tr.433-433 (0.9643)
Văn-bản-hợp-nhất-18-VBHN-VPQH tr.1-1 (0.9533)
luu-ban-nhap-tu-dong-3-4 tr.140-140 (0.9513)</t>
        </is>
      </c>
    </row>
    <row r="83">
      <c r="A83" t="inlineStr">
        <is>
          <t>LAW_E_002</t>
        </is>
      </c>
      <c r="B83" t="inlineStr">
        <is>
          <t>Văn-bản-hợp-nhất-18-VBHN-VPQH</t>
        </is>
      </c>
      <c r="C83" t="inlineStr">
        <is>
          <t>Definition</t>
        </is>
      </c>
      <c r="D83" t="inlineStr">
        <is>
          <t>Easy</t>
        </is>
      </c>
      <c r="E83" t="n">
        <v>1</v>
      </c>
      <c r="F83" t="n">
        <v>1</v>
      </c>
      <c r="G83" t="b">
        <v>1</v>
      </c>
      <c r="H83" t="n">
        <v>1</v>
      </c>
      <c r="I83" t="n">
        <v>0.9878</v>
      </c>
      <c r="J83" t="n">
        <v>0</v>
      </c>
      <c r="K83" t="inlineStr">
        <is>
          <t>Văn-bản-hợp-nhất-18-VBHN-VPQH tr.2-2 (0.9878)
luu-ban-nhap-tu-dong-3-4 tr.69-69 (0.9818)
luu-ban-nhap-tu-dong-3-4 tr.272-272 (0.9734)
luu-ban-nhap-tu-dong-3-4 tr.526-526 (0.9683)
luu-ban-nhap-tu-dong-3-4 tr.336-336 (0.796)</t>
        </is>
      </c>
    </row>
    <row r="84">
      <c r="A84" t="inlineStr">
        <is>
          <t>LAW_E_003</t>
        </is>
      </c>
      <c r="B84" t="inlineStr">
        <is>
          <t>Văn-bản-hợp-nhất-18-VBHN-VPQH</t>
        </is>
      </c>
      <c r="C84" t="inlineStr">
        <is>
          <t>Direct Fact</t>
        </is>
      </c>
      <c r="D84" t="inlineStr">
        <is>
          <t>Easy</t>
        </is>
      </c>
      <c r="E84" t="n">
        <v>1</v>
      </c>
      <c r="F84" t="n">
        <v>1</v>
      </c>
      <c r="G84" t="b">
        <v>1</v>
      </c>
      <c r="H84" t="n">
        <v>0.5</v>
      </c>
      <c r="I84" t="n">
        <v>0.8727</v>
      </c>
      <c r="J84" t="n">
        <v>0</v>
      </c>
      <c r="K84" t="inlineStr">
        <is>
          <t>Văn-bản-hợp-nhất-18-VBHN-VPQH tr.2-2 (0.8727)
giao trinh Luat lao dong CB 2005 (1) tr.16-16 (0.7096)</t>
        </is>
      </c>
    </row>
    <row r="85">
      <c r="A85" t="inlineStr">
        <is>
          <t>LAW_E_004</t>
        </is>
      </c>
      <c r="B85" t="inlineStr">
        <is>
          <t>Văn-bản-hợp-nhất-18-VBHN-VPQH</t>
        </is>
      </c>
      <c r="C85" t="inlineStr">
        <is>
          <t>Definition</t>
        </is>
      </c>
      <c r="D85" t="inlineStr">
        <is>
          <t>Easy</t>
        </is>
      </c>
      <c r="E85" t="n">
        <v>0</v>
      </c>
      <c r="F85" t="n">
        <v>1</v>
      </c>
      <c r="H85" t="n">
        <v>1</v>
      </c>
      <c r="I85" t="n">
        <v>0.9913999999999999</v>
      </c>
      <c r="J85" t="n">
        <v>0</v>
      </c>
      <c r="K85" t="inlineStr">
        <is>
          <t>giao trinh Luat lao dong CB 2005 (1) tr.4-5 (0.9914)
Văn-bản-hợp-nhất-18-VBHN-VPQH tr.2-2 (0.9832)
giao trinh Luat lao dong CB 2005 (1) tr.196-196 (0.9675)
giao trinh Luat lao dong CB 2005 (1) tr.3-3 (0.9593)
giao trinh Luat lao dong CB 2005 (1) tr.3-4 (0.9532)</t>
        </is>
      </c>
    </row>
    <row r="86">
      <c r="A86" t="inlineStr">
        <is>
          <t>LAW_E_005</t>
        </is>
      </c>
      <c r="B86" t="inlineStr">
        <is>
          <t>Văn-bản-hợp-nhất-18-VBHN-VPQH</t>
        </is>
      </c>
      <c r="C86" t="inlineStr">
        <is>
          <t>Direct Fact</t>
        </is>
      </c>
      <c r="D86" t="inlineStr">
        <is>
          <t>Easy</t>
        </is>
      </c>
      <c r="E86" t="n">
        <v>1</v>
      </c>
      <c r="F86" t="n">
        <v>1</v>
      </c>
      <c r="G86" t="b">
        <v>1</v>
      </c>
      <c r="H86" t="n">
        <v>1</v>
      </c>
      <c r="I86" t="n">
        <v>0.8688</v>
      </c>
      <c r="J86" t="n">
        <v>0</v>
      </c>
      <c r="K86" t="inlineStr">
        <is>
          <t>Văn-bản-hợp-nhất-18-VBHN-VPQH tr.8-8 (0.8688)
luu-ban-nhap-tu-dong-3-4 tr.455-455 (0.8781)
ILO-VCCI_Labour-Law-Guide-Book-V04-Final tr.43-44 (0.7964)
so-tay-kien-thuc-phap-luat-lao-dong-cdi tr.49-49 (0.7323)
ILO-VCCI_Labour-Law-Guide-Book-V04-Final tr.29-30 (0.4655)</t>
        </is>
      </c>
    </row>
    <row r="87">
      <c r="A87" t="inlineStr">
        <is>
          <t>LAW_E_006</t>
        </is>
      </c>
      <c r="B87" t="inlineStr">
        <is>
          <t>Văn-bản-hợp-nhất-18-VBHN-VPQH</t>
        </is>
      </c>
      <c r="C87" t="inlineStr">
        <is>
          <t>Direct Fact</t>
        </is>
      </c>
      <c r="D87" t="inlineStr">
        <is>
          <t>Easy</t>
        </is>
      </c>
      <c r="E87" t="n">
        <v>0</v>
      </c>
      <c r="F87" t="n">
        <v>1</v>
      </c>
      <c r="H87" t="n">
        <v>1</v>
      </c>
      <c r="I87" t="n">
        <v>0.9903999999999999</v>
      </c>
      <c r="J87" t="n">
        <v>0</v>
      </c>
      <c r="K87" t="inlineStr">
        <is>
          <t>ILO-VCCI_Labour-Law-Guide-Book-V04-Final tr.15-16 (0.9904)
Văn-bản-hợp-nhất-18-VBHN-VPQH tr.9-9 (0.9774)
ILO-VCCI_Labour-Law-Guide-Book-V04-Final tr.28-28 (0.9164)
ILO-VCCI_Labour-Law-Guide-Book-V04-Final tr.30-30 (0.8942)
ILO-VCCI_Labour-Law-Guide-Book-V04-Final tr.27-27 (0.7971)</t>
        </is>
      </c>
    </row>
    <row r="88">
      <c r="A88" t="inlineStr">
        <is>
          <t>LAW_E_007</t>
        </is>
      </c>
      <c r="B88" t="inlineStr">
        <is>
          <t>Văn-bản-hợp-nhất-18-VBHN-VPQH</t>
        </is>
      </c>
      <c r="C88" t="inlineStr">
        <is>
          <t>Direct Fact</t>
        </is>
      </c>
      <c r="D88" t="inlineStr">
        <is>
          <t>Easy</t>
        </is>
      </c>
      <c r="E88" t="n">
        <v>0</v>
      </c>
      <c r="F88" t="n">
        <v>1</v>
      </c>
      <c r="G88" t="b">
        <v>1</v>
      </c>
      <c r="H88" t="n">
        <v>1</v>
      </c>
      <c r="I88" t="n">
        <v>0.9967</v>
      </c>
      <c r="J88" t="n">
        <v>0</v>
      </c>
      <c r="K88" t="inlineStr">
        <is>
          <t>ILO-VCCI_Labour-Law-Guide-Book-V04-Final tr.13-13 (0.9967)
Văn-bản-hợp-nhất-18-VBHN-VPQH tr.11-11 (0.995)
ILO-VCCI_Labour-Law-Guide-Book-V04-Final tr.12-12 (0.5108)
ILO-VCCI_Labour-Law-Guide-Book-V04-Final tr.14-14 (0.4038)
giao trinh Luat lao dong CB 2005 (1) tr.43-44 (0.4031)</t>
        </is>
      </c>
    </row>
    <row r="89">
      <c r="A89" t="inlineStr">
        <is>
          <t>LAW_E_008</t>
        </is>
      </c>
      <c r="B89" t="inlineStr">
        <is>
          <t>Văn-bản-hợp-nhất-18-VBHN-VPQH</t>
        </is>
      </c>
      <c r="C89" t="inlineStr">
        <is>
          <t>Rule</t>
        </is>
      </c>
      <c r="D89" t="inlineStr">
        <is>
          <t>Medium</t>
        </is>
      </c>
      <c r="E89" t="n">
        <v>0</v>
      </c>
      <c r="F89" t="n">
        <v>1</v>
      </c>
      <c r="G89" t="b">
        <v>1</v>
      </c>
      <c r="H89" t="n">
        <v>1</v>
      </c>
      <c r="I89" t="n">
        <v>0.998</v>
      </c>
      <c r="J89" t="n">
        <v>0</v>
      </c>
      <c r="K89" t="inlineStr">
        <is>
          <t>ILO-VCCI_Labour-Law-Guide-Book-V04-Final tr.12-13 (0.998)
ILO-VCCI_Labour-Law-Guide-Book-V04-Final tr.12-12 (0.9963)
Văn-bản-hợp-nhất-18-VBHN-VPQH tr.11-11 (0.9916)
ILO-VCCI_Labour-Law-Guide-Book-V04-Final tr.13-13 (0.9294)
luu-ban-nhap-tu-dong-3-4 tr.412-412 (0.7964)</t>
        </is>
      </c>
    </row>
    <row r="90">
      <c r="A90" t="inlineStr">
        <is>
          <t>LAW_E_009</t>
        </is>
      </c>
      <c r="B90" t="inlineStr">
        <is>
          <t>Văn-bản-hợp-nhất-18-VBHN-VPQH</t>
        </is>
      </c>
      <c r="C90" t="inlineStr">
        <is>
          <t>Rule</t>
        </is>
      </c>
      <c r="D90" t="inlineStr">
        <is>
          <t>Medium</t>
        </is>
      </c>
      <c r="E90" t="n">
        <v>0</v>
      </c>
      <c r="F90" t="n">
        <v>1</v>
      </c>
      <c r="G90" t="b">
        <v>1</v>
      </c>
      <c r="H90" t="n">
        <v>1</v>
      </c>
      <c r="I90" t="n">
        <v>0.9957</v>
      </c>
      <c r="J90" t="n">
        <v>0</v>
      </c>
      <c r="K90" t="inlineStr">
        <is>
          <t>ILO-VCCI_Labour-Law-Guide-Book-V04-Final tr.47-48 (0.9957)
Văn-bản-hợp-nhất-18-VBHN-VPQH tr.12-13 (0.9819)
luu-ban-nhap-tu-dong-3-4 tr.418-418 (0.9911)
luu-ban-nhap-tu-dong-3-4 tr.78-78 (0.9904)
Văn-bản-hợp-nhất-18-VBHN-VPQH tr.12-12 (0.9796)</t>
        </is>
      </c>
    </row>
    <row r="91">
      <c r="A91" t="inlineStr">
        <is>
          <t>LAW_E_010</t>
        </is>
      </c>
      <c r="B91" t="inlineStr">
        <is>
          <t>Văn-bản-hợp-nhất-18-VBHN-VPQH</t>
        </is>
      </c>
      <c r="C91" t="inlineStr">
        <is>
          <t>Rule</t>
        </is>
      </c>
      <c r="D91" t="inlineStr">
        <is>
          <t>Medium</t>
        </is>
      </c>
      <c r="E91" t="n">
        <v>0</v>
      </c>
      <c r="F91" t="n">
        <v>0</v>
      </c>
      <c r="G91" t="b">
        <v>0</v>
      </c>
      <c r="H91" t="n">
        <v>1</v>
      </c>
      <c r="I91" t="n">
        <v>0.9982</v>
      </c>
      <c r="J91" t="n">
        <v>0</v>
      </c>
      <c r="K91" t="inlineStr">
        <is>
          <t>ILO-VCCI_Labour-Law-Guide-Book-V04-Final tr.32-32 (0.9982)
ILO-VCCI_Labour-Law-Guide-Book-V04-Final tr.27-28 (0.9978)
ILO-VCCI_Labour-Law-Guide-Book-V04-Final tr.30-30 (0.9969)
ILO-VCCI_Labour-Law-Guide-Book-V04-Final tr.36-36 (0.9949)
ILO-VCCI_Labour-Law-Guide-Book-V04-Final tr.27-27 (0.9935)</t>
        </is>
      </c>
    </row>
    <row r="92">
      <c r="A92" t="inlineStr">
        <is>
          <t>LAW_E_011</t>
        </is>
      </c>
      <c r="B92" t="inlineStr">
        <is>
          <t>Văn-bản-hợp-nhất-18-VBHN-VPQH</t>
        </is>
      </c>
      <c r="C92" t="inlineStr">
        <is>
          <t>Rule</t>
        </is>
      </c>
      <c r="D92" t="inlineStr">
        <is>
          <t>Medium</t>
        </is>
      </c>
      <c r="E92" t="n">
        <v>0</v>
      </c>
      <c r="F92" t="n">
        <v>0</v>
      </c>
      <c r="G92" t="b">
        <v>0</v>
      </c>
      <c r="H92" t="n">
        <v>1</v>
      </c>
      <c r="I92" t="n">
        <v>0.9968</v>
      </c>
      <c r="J92" t="n">
        <v>0</v>
      </c>
      <c r="K92" t="inlineStr">
        <is>
          <t>ILO-VCCI_Labour-Law-Guide-Book-V04-Final tr.28-28 (0.9968)
ILO-VCCI_Labour-Law-Guide-Book-V04-Final tr.27-28 (0.9949)
ILO-VCCI_Labour-Law-Guide-Book-V04-Final tr.30-30 (0.9942)
ILO-VCCI_Labour-Law-Guide-Book-V04-Final tr.32-32 (0.9904)
giao trinh Luat lao dong CB 2005 (1) tr.41-41 (0.9849)</t>
        </is>
      </c>
    </row>
    <row r="93">
      <c r="A93" t="inlineStr">
        <is>
          <t>LAW_E_012</t>
        </is>
      </c>
      <c r="B93" t="inlineStr">
        <is>
          <t>Văn-bản-hợp-nhất-18-VBHN-VPQH</t>
        </is>
      </c>
      <c r="C93" t="inlineStr">
        <is>
          <t>Rule</t>
        </is>
      </c>
      <c r="D93" t="inlineStr">
        <is>
          <t>Medium</t>
        </is>
      </c>
      <c r="E93" t="n">
        <v>1</v>
      </c>
      <c r="F93" t="n">
        <v>1</v>
      </c>
      <c r="G93" t="b">
        <v>1</v>
      </c>
      <c r="H93" t="n">
        <v>0.6666666666666666</v>
      </c>
      <c r="I93" t="n">
        <v>0.9807</v>
      </c>
      <c r="J93" t="n">
        <v>0</v>
      </c>
      <c r="K93" t="inlineStr">
        <is>
          <t>Văn-bản-hợp-nhất-18-VBHN-VPQH tr.20-20 (0.9807)
luu-ban-nhap-tu-dong-3-4 tr.85-85 (0.9631)
giao trinh Luat lao dong CB 2005 (1) tr.43-43 (0.9612)
so-tay-kien-thuc-phap-luat-lao-dong-cdi tr.16-16 (0.9421)
giao trinh Luat lao dong CB 2005 (1) tr.44-44 (0.9375)</t>
        </is>
      </c>
    </row>
    <row r="94">
      <c r="A94" t="inlineStr">
        <is>
          <t>LAW_E_013</t>
        </is>
      </c>
      <c r="B94" t="inlineStr">
        <is>
          <t>Văn-bản-hợp-nhất-18-VBHN-VPQH</t>
        </is>
      </c>
      <c r="C94" t="inlineStr">
        <is>
          <t>Rule</t>
        </is>
      </c>
      <c r="D94" t="inlineStr">
        <is>
          <t>Medium</t>
        </is>
      </c>
      <c r="E94" t="n">
        <v>0</v>
      </c>
      <c r="F94" t="n">
        <v>1</v>
      </c>
      <c r="H94" t="n">
        <v>0.6666666666666666</v>
      </c>
      <c r="I94" t="n">
        <v>0.9993</v>
      </c>
      <c r="J94" t="n">
        <v>0</v>
      </c>
      <c r="K94" t="inlineStr">
        <is>
          <t>luu-ban-nhap-tu-dong-3-4 tr.19-20 (0.9993)
Văn-bản-hợp-nhất-18-VBHN-VPQH tr.20-21 (0.9933)
giao trinh Luat lao dong CB 2005 (1) tr.28-28 (0.9622)
luu-ban-nhap-tu-dong-3-4 tr.434-434 (0.9522)
luu-ban-nhap-tu-dong-3-4 tr.235-235 (0.914)</t>
        </is>
      </c>
    </row>
    <row r="95">
      <c r="A95" t="inlineStr">
        <is>
          <t>LAW_E_014</t>
        </is>
      </c>
      <c r="B95" t="inlineStr">
        <is>
          <t>Văn-bản-hợp-nhất-18-VBHN-VPQH</t>
        </is>
      </c>
      <c r="C95" t="inlineStr">
        <is>
          <t>Definition</t>
        </is>
      </c>
      <c r="D95" t="inlineStr">
        <is>
          <t>Medium</t>
        </is>
      </c>
      <c r="E95" t="n">
        <v>0</v>
      </c>
      <c r="F95" t="n">
        <v>1</v>
      </c>
      <c r="G95" t="b">
        <v>1</v>
      </c>
      <c r="H95" t="n">
        <v>1</v>
      </c>
      <c r="I95" t="n">
        <v>0.9862</v>
      </c>
      <c r="J95" t="n">
        <v>0</v>
      </c>
      <c r="K95" t="inlineStr">
        <is>
          <t>luu-ban-nhap-tu-dong-3-4 tr.97-97 (0.9862)
Văn-bản-hợp-nhất-18-VBHN-VPQH tr.35-35 (0.9717)
luu-ban-nhap-tu-dong-3-4 tr.423-423 (0.9651)</t>
        </is>
      </c>
    </row>
    <row r="96">
      <c r="A96" t="inlineStr">
        <is>
          <t>LAW_E_015</t>
        </is>
      </c>
      <c r="B96" t="inlineStr">
        <is>
          <t>Văn-bản-hợp-nhất-18-VBHN-VPQH</t>
        </is>
      </c>
      <c r="C96" t="inlineStr">
        <is>
          <t>Scenario-based</t>
        </is>
      </c>
      <c r="D96" t="inlineStr">
        <is>
          <t>Hard</t>
        </is>
      </c>
      <c r="E96" t="n">
        <v>1</v>
      </c>
      <c r="F96" t="n">
        <v>1</v>
      </c>
      <c r="G96" t="b">
        <v>1</v>
      </c>
      <c r="H96" t="n">
        <v>1</v>
      </c>
      <c r="I96" t="n">
        <v>0.9833</v>
      </c>
      <c r="J96" t="n">
        <v>0</v>
      </c>
      <c r="K96" t="inlineStr">
        <is>
          <t>Văn-bản-hợp-nhất-18-VBHN-VPQH tr.38-38 (0.9833)
ILO-VCCI_Labour-Law-Guide-Book-V04-Final tr.100-100 (0.8883)
so-tay-kien-thuc-phap-luat-lao-dong-cdi tr.19-19 (0.8499)
ILO-VCCI_Labour-Law-Guide-Book-V04-Final tr.101-101 (0.8091)
ILO-VCCI_Labour-Law-Guide-Book-V04-Final tr.99-100 (0.6401)</t>
        </is>
      </c>
    </row>
    <row r="97">
      <c r="A97" t="inlineStr">
        <is>
          <t>LAW_E_016</t>
        </is>
      </c>
      <c r="B97" t="inlineStr">
        <is>
          <t>Văn-bản-hợp-nhất-18-VBHN-VPQH</t>
        </is>
      </c>
      <c r="C97" t="inlineStr">
        <is>
          <t>Scenario-based</t>
        </is>
      </c>
      <c r="D97" t="inlineStr">
        <is>
          <t>Hard</t>
        </is>
      </c>
      <c r="E97" t="n">
        <v>1</v>
      </c>
      <c r="F97" t="n">
        <v>1</v>
      </c>
      <c r="G97" t="b">
        <v>1</v>
      </c>
      <c r="H97" t="n">
        <v>1</v>
      </c>
      <c r="I97" t="n">
        <v>0.9883999999999999</v>
      </c>
      <c r="J97" t="n">
        <v>0</v>
      </c>
      <c r="K97" t="inlineStr">
        <is>
          <t>Văn-bản-hợp-nhất-18-VBHN-VPQH tr.38-38 (0.9884)
ILO-VCCI_Labour-Law-Guide-Book-V04-Final tr.100-100 (0.95)
ILO-VCCI_Labour-Law-Guide-Book-V04-Final tr.101-101 (0.9366)
so-tay-kien-thuc-phap-luat-lao-dong-cdi tr.19-19 (0.8093)
luu-ban-nhap-tu-dong-3-4 tr.424-424 (0.7441)</t>
        </is>
      </c>
    </row>
    <row r="98">
      <c r="A98" t="inlineStr">
        <is>
          <t>LAW_E_017</t>
        </is>
      </c>
      <c r="B98" t="inlineStr">
        <is>
          <t>Văn-bản-hợp-nhất-18-VBHN-VPQH</t>
        </is>
      </c>
      <c r="C98" t="inlineStr">
        <is>
          <t>Multi-hop</t>
        </is>
      </c>
      <c r="D98" t="inlineStr">
        <is>
          <t>Hard</t>
        </is>
      </c>
      <c r="E98" t="n">
        <v>1</v>
      </c>
      <c r="F98" t="n">
        <v>1</v>
      </c>
      <c r="G98" t="b">
        <v>1</v>
      </c>
      <c r="H98" t="n">
        <v>1</v>
      </c>
      <c r="I98" t="n">
        <v>0.7509</v>
      </c>
      <c r="J98" t="n">
        <v>0</v>
      </c>
      <c r="K98" t="inlineStr">
        <is>
          <t>Văn-bản-hợp-nhất-18-VBHN-VPQH tr.40-40 (0.7509)
luu-ban-nhap-tu-dong-3-4 tr.101-101 (0.6542)
ILO-VCCI_Labour-Law-Guide-Book-V04-Final tr.107-107 (0.4888)
ILO-VCCI_Labour-Law-Guide-Book-V04-Final tr.112-112 (0.4459)</t>
        </is>
      </c>
    </row>
    <row r="99">
      <c r="A99" t="inlineStr">
        <is>
          <t>LAW_E_018</t>
        </is>
      </c>
      <c r="B99" t="inlineStr">
        <is>
          <t>Văn-bản-hợp-nhất-18-VBHN-VPQH</t>
        </is>
      </c>
      <c r="C99" t="inlineStr">
        <is>
          <t>Multi-hop</t>
        </is>
      </c>
      <c r="D99" t="inlineStr">
        <is>
          <t>Hard</t>
        </is>
      </c>
      <c r="E99" t="n">
        <v>0</v>
      </c>
      <c r="F99" t="n">
        <v>1</v>
      </c>
      <c r="G99" t="b">
        <v>1</v>
      </c>
      <c r="H99" t="n">
        <v>1</v>
      </c>
      <c r="I99" t="n">
        <v>0.9961</v>
      </c>
      <c r="J99" t="n">
        <v>0</v>
      </c>
      <c r="K99" t="inlineStr">
        <is>
          <t>so-tay-kien-thuc-phap-luat-lao-dong-cdi tr.24-24 (0.9961)
ILO-VCCI_Labour-Law-Guide-Book-V04-Final tr.115-115 (0.9941)
ILO-VCCI_Labour-Law-Guide-Book-V04-Final tr.116-116 (0.9813)
so-tay-kien-thuc-phap-luat-lao-dong-cdi tr.24-24 (0.9795)
Văn-bản-hợp-nhất-18-VBHN-VPQH tr.42-43 (0.9781)</t>
        </is>
      </c>
    </row>
    <row r="100">
      <c r="A100" t="inlineStr">
        <is>
          <t>LAW_E_019</t>
        </is>
      </c>
      <c r="B100" t="inlineStr">
        <is>
          <t>Văn-bản-hợp-nhất-18-VBHN-VPQH</t>
        </is>
      </c>
      <c r="C100" t="inlineStr">
        <is>
          <t>Procedure</t>
        </is>
      </c>
      <c r="D100" t="inlineStr">
        <is>
          <t>Hard</t>
        </is>
      </c>
      <c r="E100" t="n">
        <v>0</v>
      </c>
      <c r="F100" t="n">
        <v>0</v>
      </c>
      <c r="G100" t="b">
        <v>0</v>
      </c>
      <c r="H100" t="n">
        <v>1</v>
      </c>
      <c r="I100" t="n">
        <v>0.9312</v>
      </c>
      <c r="J100" t="n">
        <v>0</v>
      </c>
      <c r="K100" t="inlineStr">
        <is>
          <t>ILO-VCCI_Labour-Law-Guide-Book-V04-Final tr.54-54 (0.9312)
ILO-VCCI_Labour-Law-Guide-Book-V04-Final tr.53-54 (0.9291)
giao trinh Luat lao dong CB 2005 (1) tr.90-91 (0.9187)
so-tay-kien-thuc-phap-luat-lao-dong-cdi tr.33-33 (0.9056)
ILO-VCCI_Labour-Law-Guide-Book-V04-Final tr.54-54 (0.8585)</t>
        </is>
      </c>
    </row>
    <row r="101">
      <c r="A101" t="inlineStr">
        <is>
          <t>LAW_E_020</t>
        </is>
      </c>
      <c r="B101" t="inlineStr">
        <is>
          <t>Văn-bản-hợp-nhất-18-VBHN-VPQH</t>
        </is>
      </c>
      <c r="C101" t="inlineStr">
        <is>
          <t>Scenario-based</t>
        </is>
      </c>
      <c r="D101" t="inlineStr">
        <is>
          <t>Hard</t>
        </is>
      </c>
      <c r="E101" t="n">
        <v>1</v>
      </c>
      <c r="F101" t="n">
        <v>1</v>
      </c>
      <c r="G101" t="b">
        <v>1</v>
      </c>
      <c r="H101" t="n">
        <v>1</v>
      </c>
      <c r="I101" t="n">
        <v>0.9979</v>
      </c>
      <c r="J101" t="n">
        <v>0</v>
      </c>
      <c r="K101" t="inlineStr">
        <is>
          <t>Văn-bản-hợp-nhất-18-VBHN-VPQH tr.47-48 (0.9979)
so-tay-kien-thuc-phap-luat-lao-dong-cdi tr.33-34 (0.9642)
ILO-VCCI_Labour-Law-Guide-Book-V04-Final tr.24-25 (0.9291)
giao trinh Luat lao dong CB 2005 (1) tr.92-92 (0.8198)
luu-ban-nhap-tu-dong-3-4 tr.107-107 (0.7854)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44" customWidth="1" min="1" max="1"/>
  </cols>
  <sheetData>
    <row r="1">
      <c r="A1" s="8" t="inlineStr">
        <is>
          <t>Retrieval metrics: old vs new</t>
        </is>
      </c>
    </row>
    <row r="2">
      <c r="A2" s="2" t="inlineStr">
        <is>
          <t>Scope</t>
        </is>
      </c>
      <c r="B2" s="2" t="inlineStr">
        <is>
          <t>Doc@1 old</t>
        </is>
      </c>
      <c r="C2" s="2" t="inlineStr">
        <is>
          <t>Doc@1 new</t>
        </is>
      </c>
      <c r="D2" s="2" t="inlineStr">
        <is>
          <t>Doc@5 old</t>
        </is>
      </c>
      <c r="E2" s="2" t="inlineStr">
        <is>
          <t>Doc@5 new</t>
        </is>
      </c>
      <c r="F2" s="2" t="inlineStr">
        <is>
          <t>Page@5 old</t>
        </is>
      </c>
      <c r="G2" s="2" t="inlineStr">
        <is>
          <t>Page@5 new</t>
        </is>
      </c>
      <c r="H2" s="2" t="inlineStr">
        <is>
          <t>Keywords@5 old</t>
        </is>
      </c>
      <c r="I2" s="2" t="inlineStr">
        <is>
          <t>Keywords@5 new</t>
        </is>
      </c>
      <c r="J2" s="2" t="inlineStr">
        <is>
          <t>Refused old</t>
        </is>
      </c>
      <c r="K2" s="2" t="inlineStr">
        <is>
          <t>Refused new</t>
        </is>
      </c>
    </row>
    <row r="3">
      <c r="A3" t="inlineStr">
        <is>
          <t>ALL</t>
        </is>
      </c>
      <c r="B3" s="5" t="n">
        <v>0.31</v>
      </c>
      <c r="C3" s="5" t="n">
        <v>0.53</v>
      </c>
      <c r="D3" s="5" t="n">
        <v>0.47</v>
      </c>
      <c r="E3" s="5" t="n">
        <v>0.71</v>
      </c>
      <c r="F3" s="5" t="n">
        <v>0.3614457831325301</v>
      </c>
      <c r="G3" s="5" t="n">
        <v>0.5180722891566265</v>
      </c>
      <c r="H3" s="5" t="n">
        <v>0.5192380952380952</v>
      </c>
      <c r="I3" s="5" t="n">
        <v>0.7095714285714285</v>
      </c>
      <c r="J3" s="5" t="n">
        <v>0.3</v>
      </c>
      <c r="K3" s="5" t="n">
        <v>0.18</v>
      </c>
    </row>
    <row r="4">
      <c r="A4" t="inlineStr">
        <is>
          <t>giao trinh Luat lao dong CB 2005 (1)</t>
        </is>
      </c>
      <c r="B4" s="5" t="n">
        <v>0</v>
      </c>
      <c r="C4" s="5" t="n">
        <v>0.75</v>
      </c>
      <c r="D4" s="5" t="n">
        <v>0.05</v>
      </c>
      <c r="E4" s="5" t="n">
        <v>0.9</v>
      </c>
      <c r="F4" s="5" t="n">
        <v>0</v>
      </c>
      <c r="G4" s="5" t="n">
        <v>0.8125</v>
      </c>
      <c r="H4" s="5" t="n">
        <v>0.3176190476190476</v>
      </c>
      <c r="I4" s="5" t="n">
        <v>0.7999999999999999</v>
      </c>
      <c r="J4" s="5" t="n">
        <v>0.4</v>
      </c>
      <c r="K4" s="5" t="n">
        <v>0.05</v>
      </c>
    </row>
    <row r="5">
      <c r="A5" t="inlineStr">
        <is>
          <t>so-tay-kien-thuc-phap-luat-lao-dong-cdi</t>
        </is>
      </c>
      <c r="B5" s="5" t="n">
        <v>0.4</v>
      </c>
      <c r="C5" s="5" t="n">
        <v>0.4</v>
      </c>
      <c r="D5" s="5" t="n">
        <v>0.45</v>
      </c>
      <c r="E5" s="5" t="n">
        <v>0.5</v>
      </c>
      <c r="F5" s="5" t="n">
        <v>0.125</v>
      </c>
      <c r="G5" s="5" t="n">
        <v>0.0625</v>
      </c>
      <c r="H5" s="5" t="n">
        <v>0.5166666666666666</v>
      </c>
      <c r="I5" s="5" t="n">
        <v>0.5666666666666667</v>
      </c>
      <c r="J5" s="5" t="n">
        <v>0.35</v>
      </c>
      <c r="K5" s="5" t="n">
        <v>0.35</v>
      </c>
    </row>
    <row r="6">
      <c r="A6" t="inlineStr">
        <is>
          <t>luu-ban-nhap-tu-dong-3-4</t>
        </is>
      </c>
      <c r="B6" s="5" t="n">
        <v>0.3</v>
      </c>
      <c r="C6" s="5" t="n">
        <v>0.3</v>
      </c>
      <c r="D6" s="5" t="n">
        <v>0.45</v>
      </c>
      <c r="E6" s="5" t="n">
        <v>0.45</v>
      </c>
      <c r="F6" s="5" t="n">
        <v>0.35</v>
      </c>
      <c r="G6" s="5" t="n">
        <v>0.35</v>
      </c>
      <c r="H6" s="5" t="n">
        <v>0.475</v>
      </c>
      <c r="I6" s="5" t="n">
        <v>0.4875</v>
      </c>
      <c r="J6" s="5" t="n">
        <v>0.35</v>
      </c>
      <c r="K6" s="5" t="n">
        <v>0.35</v>
      </c>
    </row>
    <row r="7">
      <c r="A7" t="inlineStr">
        <is>
          <t>ILO-VCCI_Labour-Law-Guide-Book-V04-Final</t>
        </is>
      </c>
      <c r="B7" s="5" t="n">
        <v>0.25</v>
      </c>
      <c r="C7" s="5" t="n">
        <v>0.8</v>
      </c>
      <c r="D7" s="5" t="n">
        <v>0.4</v>
      </c>
      <c r="E7" s="5" t="n">
        <v>0.85</v>
      </c>
      <c r="F7" s="5" t="n">
        <v>0.2857142857142857</v>
      </c>
      <c r="G7" s="5" t="n">
        <v>0.5714285714285714</v>
      </c>
      <c r="H7" s="5" t="n">
        <v>0.3619047619047618</v>
      </c>
      <c r="I7" s="5" t="n">
        <v>0.7520238095238095</v>
      </c>
      <c r="J7" s="5" t="n">
        <v>0.4</v>
      </c>
      <c r="K7" s="5" t="n">
        <v>0.15</v>
      </c>
    </row>
    <row r="8">
      <c r="A8" t="inlineStr">
        <is>
          <t>Văn-bản-hợp-nhất-18-VBHN-VPQH</t>
        </is>
      </c>
      <c r="B8" s="5" t="n">
        <v>0.6</v>
      </c>
      <c r="C8" s="5" t="n">
        <v>0.4</v>
      </c>
      <c r="D8" s="5" t="n">
        <v>1</v>
      </c>
      <c r="E8" s="5" t="n">
        <v>0.85</v>
      </c>
      <c r="F8" s="5" t="n">
        <v>1</v>
      </c>
      <c r="G8" s="5" t="n">
        <v>0.8235294117647058</v>
      </c>
      <c r="H8" s="5" t="n">
        <v>0.925</v>
      </c>
      <c r="I8" s="5" t="n">
        <v>0.9416666666666667</v>
      </c>
      <c r="J8" s="5" t="n">
        <v>0</v>
      </c>
      <c r="K8" s="5" t="n">
        <v>0</v>
      </c>
    </row>
    <row r="9">
      <c r="A9" t="inlineStr">
        <is>
          <t>Easy</t>
        </is>
      </c>
      <c r="B9" s="5" t="n">
        <v>0.3142857142857143</v>
      </c>
      <c r="C9" s="5" t="n">
        <v>0.6857142857142857</v>
      </c>
      <c r="D9" s="5" t="n">
        <v>0.4857142857142857</v>
      </c>
      <c r="E9" s="5" t="n">
        <v>0.8285714285714286</v>
      </c>
      <c r="F9" s="5" t="n">
        <v>0.3928571428571428</v>
      </c>
      <c r="G9" s="5" t="n">
        <v>0.6785714285714286</v>
      </c>
      <c r="H9" s="5" t="n">
        <v>0.5578231292517007</v>
      </c>
      <c r="I9" s="5" t="n">
        <v>0.7911564625850341</v>
      </c>
      <c r="J9" s="5" t="n">
        <v>0.3142857142857143</v>
      </c>
      <c r="K9" s="5" t="n">
        <v>0.1142857142857143</v>
      </c>
    </row>
    <row r="10">
      <c r="A10" t="inlineStr">
        <is>
          <t>Medium</t>
        </is>
      </c>
      <c r="B10" s="5" t="n">
        <v>0.3428571428571429</v>
      </c>
      <c r="C10" s="5" t="n">
        <v>0.4285714285714285</v>
      </c>
      <c r="D10" s="5" t="n">
        <v>0.5714285714285714</v>
      </c>
      <c r="E10" s="5" t="n">
        <v>0.7714285714285715</v>
      </c>
      <c r="F10" s="5" t="n">
        <v>0.4137931034482759</v>
      </c>
      <c r="G10" s="5" t="n">
        <v>0.4827586206896552</v>
      </c>
      <c r="H10" s="5" t="n">
        <v>0.6785714285714286</v>
      </c>
      <c r="I10" s="5" t="n">
        <v>0.8547619047619048</v>
      </c>
      <c r="J10" s="5" t="n">
        <v>0.1428571428571428</v>
      </c>
      <c r="K10" s="5" t="n">
        <v>0.05714285714285714</v>
      </c>
    </row>
    <row r="11">
      <c r="A11" t="inlineStr">
        <is>
          <t>Hard</t>
        </is>
      </c>
      <c r="B11" s="5" t="n">
        <v>0.2666666666666667</v>
      </c>
      <c r="C11" s="5" t="n">
        <v>0.4666666666666667</v>
      </c>
      <c r="D11" s="5" t="n">
        <v>0.3333333333333333</v>
      </c>
      <c r="E11" s="5" t="n">
        <v>0.5</v>
      </c>
      <c r="F11" s="5" t="n">
        <v>0.2692307692307692</v>
      </c>
      <c r="G11" s="5" t="n">
        <v>0.3846153846153846</v>
      </c>
      <c r="H11" s="5" t="n">
        <v>0.2883333333333333</v>
      </c>
      <c r="I11" s="5" t="n">
        <v>0.445</v>
      </c>
      <c r="J11" s="5" t="n">
        <v>0.4666666666666667</v>
      </c>
      <c r="K11" s="5" t="n">
        <v>0.4</v>
      </c>
    </row>
    <row r="13">
      <c r="A13" t="inlineStr">
        <is>
          <t>Doc@5 fixed (27)</t>
        </is>
      </c>
      <c r="B13" t="inlineStr">
        <is>
          <t>LAW_A_001, LAW_A_002, LAW_A_003, LAW_A_004, LAW_A_005, LAW_A_006, LAW_A_007, LAW_A_009, LAW_A_010, LAW_A_012, LAW_A_013, LAW_A_014, LAW_A_015, LAW_A_016, LAW_A_017, LAW_A_018, LAW_A_020, LAW_B_013, LAW_D_001, LAW_D_002, LAW_D_004, LAW_D_005, LAW_D_006, LAW_D_009, LAW_D_012, LAW_D_014, LAW_D_016</t>
        </is>
      </c>
    </row>
    <row r="14">
      <c r="A14" t="inlineStr">
        <is>
          <t>Doc@5 regressed (3)</t>
        </is>
      </c>
      <c r="B14" t="inlineStr">
        <is>
          <t>LAW_E_010, LAW_E_011, LAW_E_019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0" customWidth="1" min="1" max="1"/>
    <col width="12" customWidth="1" min="2" max="2"/>
    <col width="10" customWidth="1" min="3" max="3"/>
    <col width="30" customWidth="1" min="4" max="4"/>
    <col width="45" customWidth="1" min="5" max="5"/>
    <col width="45" customWidth="1" min="6" max="6"/>
    <col width="55" customWidth="1" min="7" max="7"/>
    <col width="35" customWidth="1" min="8" max="8"/>
    <col width="16" customWidth="1" min="9" max="9"/>
  </cols>
  <sheetData>
    <row r="1">
      <c r="A1" s="2" t="inlineStr">
        <is>
          <t>Defect ID</t>
        </is>
      </c>
      <c r="B1" s="2" t="inlineStr">
        <is>
          <t>Test Case</t>
        </is>
      </c>
      <c r="C1" s="2" t="inlineStr">
        <is>
          <t>Severity</t>
        </is>
      </c>
      <c r="D1" s="2" t="inlineStr">
        <is>
          <t>Title</t>
        </is>
      </c>
      <c r="E1" s="2" t="inlineStr">
        <is>
          <t>Steps to reproduce</t>
        </is>
      </c>
      <c r="F1" s="2" t="inlineStr">
        <is>
          <t>Expected</t>
        </is>
      </c>
      <c r="G1" s="2" t="inlineStr">
        <is>
          <t>Actual</t>
        </is>
      </c>
      <c r="H1" s="2" t="inlineStr">
        <is>
          <t>Auto reasons</t>
        </is>
      </c>
      <c r="I1" s="2" t="inlineStr">
        <is>
          <t>Status</t>
        </is>
      </c>
    </row>
    <row r="2">
      <c r="A2" s="6" t="inlineStr">
        <is>
          <t>D-001</t>
        </is>
      </c>
      <c r="B2" s="6" t="inlineStr">
        <is>
          <t>LAW_A_019</t>
        </is>
      </c>
      <c r="C2" s="6" t="inlineStr">
        <is>
          <t>Medium</t>
        </is>
      </c>
      <c r="D2" s="6" t="inlineStr">
        <is>
          <t>Từ chối trả lời câu hỏi có đáp án</t>
        </is>
      </c>
      <c r="E2" s="6" t="inlineStr">
        <is>
          <t>1. Mở RAG Lab / POST /api/rag/chat
2. Query: "Nếu hỏi “quy định hiện hành năm 2026 về làm thêm giờ”, RAG có nên chỉ dùng con số trong giáo trình 2005 không?"</t>
        </is>
      </c>
      <c r="F2" s="6" t="inlineStr">
        <is>
          <t>Không nên. Giáo trình là nguồn lịch sử/giảng dạy cũ; hệ thống phải nhận diện thời điểm của nguồn và không trình bày quy định trong tài liệu này như pháp luật hiện hành năm 2026 nếu không có nguồn cập nhật.</t>
        </is>
      </c>
      <c r="G2" s="6" t="inlineStr">
        <is>
          <t>Dựa trên tài liệu được cung cấp, tôi không tìm thấy thông tin để trả lời câu hỏi này.</t>
        </is>
      </c>
      <c r="H2" s="6" t="inlineStr">
        <is>
          <t>Từ chối trả lời dù câu hỏi có đáp án</t>
        </is>
      </c>
      <c r="I2" s="6" t="inlineStr">
        <is>
          <t>Open (candidate)</t>
        </is>
      </c>
    </row>
    <row r="3">
      <c r="A3" s="6" t="inlineStr">
        <is>
          <t>D-002</t>
        </is>
      </c>
      <c r="B3" s="6" t="inlineStr">
        <is>
          <t>LAW_B_004</t>
        </is>
      </c>
      <c r="C3" s="6" t="inlineStr">
        <is>
          <t>High</t>
        </is>
      </c>
      <c r="D3" s="6" t="inlineStr">
        <is>
          <t>Từ chối trả lời câu hỏi có đáp án</t>
        </is>
      </c>
      <c r="E3" s="6" t="inlineStr">
        <is>
          <t>1. Mở RAG Lab / POST /api/rag/chat
2. Query: "Sổ tay xếp quy định về thử việc vào nhóm nội dung nào?"</t>
        </is>
      </c>
      <c r="F3" s="6" t="inlineStr">
        <is>
          <t>Thuộc Phần I - Hợp đồng lao động.</t>
        </is>
      </c>
      <c r="G3" s="6" t="inlineStr">
        <is>
          <t>Dựa trên tài liệu được cung cấp, tôi không tìm thấy thông tin để trả lời câu hỏi này.</t>
        </is>
      </c>
      <c r="H3" s="6" t="inlineStr">
        <is>
          <t>Từ chối trả lời dù câu hỏi có đáp án</t>
        </is>
      </c>
      <c r="I3" s="6" t="inlineStr">
        <is>
          <t>Open (candidate)</t>
        </is>
      </c>
    </row>
    <row r="4">
      <c r="A4" s="6" t="inlineStr">
        <is>
          <t>D-003</t>
        </is>
      </c>
      <c r="B4" s="6" t="inlineStr">
        <is>
          <t>LAW_B_006</t>
        </is>
      </c>
      <c r="C4" s="6" t="inlineStr">
        <is>
          <t>High</t>
        </is>
      </c>
      <c r="D4" s="6" t="inlineStr">
        <is>
          <t>Từ chối trả lời câu hỏi có đáp án</t>
        </is>
      </c>
      <c r="E4" s="6" t="inlineStr">
        <is>
          <t>1. Mở RAG Lab / POST /api/rag/chat
2. Query: "Sổ tay xếp nghỉ giữa giờ, nghỉ phép và nghỉ việc riêng vào phần nào?"</t>
        </is>
      </c>
      <c r="F4" s="6" t="inlineStr">
        <is>
          <t>Thuộc Phần III - Thời gian làm việc và nghỉ ngơi.</t>
        </is>
      </c>
      <c r="G4" s="6" t="inlineStr">
        <is>
          <t>Dựa trên tài liệu được cung cấp, tôi không tìm thấy thông tin để trả lời câu hỏi này.</t>
        </is>
      </c>
      <c r="H4" s="6" t="inlineStr">
        <is>
          <t>Từ chối trả lời dù câu hỏi có đáp án</t>
        </is>
      </c>
      <c r="I4" s="6" t="inlineStr">
        <is>
          <t>Open (candidate)</t>
        </is>
      </c>
    </row>
    <row r="5">
      <c r="A5" s="6" t="inlineStr">
        <is>
          <t>D-004</t>
        </is>
      </c>
      <c r="B5" s="6" t="inlineStr">
        <is>
          <t>LAW_B_007</t>
        </is>
      </c>
      <c r="C5" s="6" t="inlineStr">
        <is>
          <t>High</t>
        </is>
      </c>
      <c r="D5" s="6" t="inlineStr">
        <is>
          <t>Từ chối trả lời câu hỏi có đáp án</t>
        </is>
      </c>
      <c r="E5" s="6" t="inlineStr">
        <is>
          <t>1. Mở RAG Lab / POST /api/rag/chat
2. Query: "Sổ tay xếp tai nạn lao động và bệnh nghề nghiệp vào phần nào?"</t>
        </is>
      </c>
      <c r="F5" s="6" t="inlineStr">
        <is>
          <t>Thuộc Phần IV - An toàn lao động.</t>
        </is>
      </c>
      <c r="G5" s="6" t="inlineStr">
        <is>
          <t>Dựa trên tài liệu được cung cấp, tôi không tìm thấy thông tin để trả lời câu hỏi này.</t>
        </is>
      </c>
      <c r="H5" s="6" t="inlineStr">
        <is>
          <t>Từ chối trả lời dù câu hỏi có đáp án</t>
        </is>
      </c>
      <c r="I5" s="6" t="inlineStr">
        <is>
          <t>Open (candidate)</t>
        </is>
      </c>
    </row>
    <row r="6">
      <c r="A6" s="6" t="inlineStr">
        <is>
          <t>D-005</t>
        </is>
      </c>
      <c r="B6" s="6" t="inlineStr">
        <is>
          <t>LAW_B_014</t>
        </is>
      </c>
      <c r="C6" s="6" t="inlineStr">
        <is>
          <t>Medium</t>
        </is>
      </c>
      <c r="D6" s="6" t="inlineStr">
        <is>
          <t>Từ chối trả lời câu hỏi có đáp án</t>
        </is>
      </c>
      <c r="E6" s="6" t="inlineStr">
        <is>
          <t>1. Mở RAG Lab / POST /api/rag/chat
2. Query: "Nếu NLĐ làm mất tài sản của doanh nghiệp, sổ tay định hướng tra cứu nội dung nào?"</t>
        </is>
      </c>
      <c r="F6" s="6" t="inlineStr">
        <is>
          <t>Tra cứu câu hỏi “Bồi thường thiệt hại do làm mất tài sản?” trong Phần V - Kỷ luật lao động.</t>
        </is>
      </c>
      <c r="G6" s="6" t="inlineStr">
        <is>
          <t>Dựa trên tài liệu được cung cấp, tôi không tìm thấy thông tin để trả lời câu hỏi này.</t>
        </is>
      </c>
      <c r="H6" s="6" t="inlineStr">
        <is>
          <t>Từ chối trả lời dù câu hỏi có đáp án</t>
        </is>
      </c>
      <c r="I6" s="6" t="inlineStr">
        <is>
          <t>Open (candidate)</t>
        </is>
      </c>
    </row>
    <row r="7">
      <c r="A7" s="6" t="inlineStr">
        <is>
          <t>D-006</t>
        </is>
      </c>
      <c r="B7" s="6" t="inlineStr">
        <is>
          <t>LAW_B_015</t>
        </is>
      </c>
      <c r="C7" s="6" t="inlineStr">
        <is>
          <t>Medium</t>
        </is>
      </c>
      <c r="D7" s="6" t="inlineStr">
        <is>
          <t>Từ chối trả lời câu hỏi có đáp án</t>
        </is>
      </c>
      <c r="E7" s="6" t="inlineStr">
        <is>
          <t>1. Mở RAG Lab / POST /api/rag/chat
2. Query: "Một NLĐ vừa hỏi về nghỉ phép vừa hỏi về lương làm thêm giờ. RAG cần lấy tối thiểu từ những phần nào của sổ tay?"</t>
        </is>
      </c>
      <c r="F7" s="6" t="inlineStr">
        <is>
          <t>Ít nhất từ Phần II - Tiền lương (lương làm thêm giờ) và Phần III - Thời gian làm việc và nghỉ ngơi (nghỉ phép).</t>
        </is>
      </c>
      <c r="G7" s="6" t="inlineStr">
        <is>
          <t>Dựa trên tài liệu được cung cấp, tôi không tìm thấy thông tin để trả lời câu hỏi này.</t>
        </is>
      </c>
      <c r="H7" s="6" t="inlineStr">
        <is>
          <t>Từ chối trả lời dù câu hỏi có đáp án</t>
        </is>
      </c>
      <c r="I7" s="6" t="inlineStr">
        <is>
          <t>Open (candidate)</t>
        </is>
      </c>
    </row>
    <row r="8">
      <c r="A8" s="6" t="inlineStr">
        <is>
          <t>D-007</t>
        </is>
      </c>
      <c r="B8" s="6" t="inlineStr">
        <is>
          <t>LAW_B_016</t>
        </is>
      </c>
      <c r="C8" s="6" t="inlineStr">
        <is>
          <t>Medium</t>
        </is>
      </c>
      <c r="D8" s="6" t="inlineStr">
        <is>
          <t>Từ chối trả lời câu hỏi có đáp án</t>
        </is>
      </c>
      <c r="E8" s="6" t="inlineStr">
        <is>
          <t>1. Mở RAG Lab / POST /api/rag/chat
2. Query: "Một vụ việc có tai nạn lao động và sau đó phát sinh khiếu kiện. Để trả lời theo cấu trúc sổ tay, cần kết hợp những phần nào?"</t>
        </is>
      </c>
      <c r="F8" s="6" t="inlineStr">
        <is>
          <t>Cần kết hợp Phần IV - An toàn lao động với Phần VIII - Khiếu nại, khiếu kiện về lao động.</t>
        </is>
      </c>
      <c r="G8" s="6" t="inlineStr">
        <is>
          <t>Dựa trên tài liệu được cung cấp, tôi không tìm thấy thông tin để trả lời câu hỏi này.</t>
        </is>
      </c>
      <c r="H8" s="6" t="inlineStr">
        <is>
          <t>Từ chối trả lời dù câu hỏi có đáp án</t>
        </is>
      </c>
      <c r="I8" s="6" t="inlineStr">
        <is>
          <t>Open (candidate)</t>
        </is>
      </c>
    </row>
    <row r="9">
      <c r="A9" s="6" t="inlineStr">
        <is>
          <t>D-008</t>
        </is>
      </c>
      <c r="B9" s="6" t="inlineStr">
        <is>
          <t>LAW_B_018</t>
        </is>
      </c>
      <c r="C9" s="6" t="inlineStr">
        <is>
          <t>Medium</t>
        </is>
      </c>
      <c r="D9" s="6" t="inlineStr">
        <is>
          <t>Từ chối trả lời câu hỏi có đáp án</t>
        </is>
      </c>
      <c r="E9" s="6" t="inlineStr">
        <is>
          <t>1. Mở RAG Lab / POST /api/rag/chat
2. Query: "Nếu người dùng hỏi pháp luật hiện hành 2026, RAG có nên trả lời trực tiếp theo ngưỡng “dưới 03 tháng” của sổ tay không?"</t>
        </is>
      </c>
      <c r="F9" s="6" t="inlineStr">
        <is>
          <t>Không nên coi đó là quy định hiện hành chỉ dựa vào sổ tay này. Cần nêu đây là nội dung của tài liệu và ưu tiên/đối chiếu nguồn pháp luật cập nhật hơn nếu câu hỏi yêu cầu hiện hành.</t>
        </is>
      </c>
      <c r="G9" s="6" t="inlineStr">
        <is>
          <t>Dựa trên tài liệu được cung cấp, tôi không tìm thấy thông tin để trả lời câu hỏi này.</t>
        </is>
      </c>
      <c r="H9" s="6" t="inlineStr">
        <is>
          <t>Từ chối trả lời dù câu hỏi có đáp án</t>
        </is>
      </c>
      <c r="I9" s="6" t="inlineStr">
        <is>
          <t>Open (candidate)</t>
        </is>
      </c>
    </row>
    <row r="10">
      <c r="A10" s="6" t="inlineStr">
        <is>
          <t>D-009</t>
        </is>
      </c>
      <c r="B10" s="6" t="inlineStr">
        <is>
          <t>LAW_B_019</t>
        </is>
      </c>
      <c r="C10" s="6" t="inlineStr">
        <is>
          <t>Medium</t>
        </is>
      </c>
      <c r="D10" s="6" t="inlineStr">
        <is>
          <t>Từ chối trả lời câu hỏi có đáp án</t>
        </is>
      </c>
      <c r="E10" s="6" t="inlineStr">
        <is>
          <t>1. Mở RAG Lab / POST /api/rag/chat
2. Query: "Sổ tay được thiết kế theo hình thức nào và điều đó có ý nghĩa gì cho RAG?"</t>
        </is>
      </c>
      <c r="F10" s="6" t="inlineStr">
        <is>
          <t>Tài liệu được thiết kế dạng Hỏi - Đáp, với thông tin và giải thích ngắn gọn; các câu hỏi dựa trên tình huống thực tế. Với RAG, cấu trúc này phù hợp cho truy xuất theo câu hỏi/tình huống nhưng vẫn cần giữ đúng bối cảnh và thời điểm của nguồn.</t>
        </is>
      </c>
      <c r="G10" s="6" t="inlineStr">
        <is>
          <t>Dựa trên tài liệu được cung cấp, tôi không tìm thấy thông tin để trả lời câu hỏi này.</t>
        </is>
      </c>
      <c r="H10" s="6" t="inlineStr">
        <is>
          <t>Từ chối trả lời dù câu hỏi có đáp án</t>
        </is>
      </c>
      <c r="I10" s="6" t="inlineStr">
        <is>
          <t>Open (candidate)</t>
        </is>
      </c>
    </row>
    <row r="11">
      <c r="A11" s="6" t="inlineStr">
        <is>
          <t>D-010</t>
        </is>
      </c>
      <c r="B11" s="6" t="inlineStr">
        <is>
          <t>LAW_B_020</t>
        </is>
      </c>
      <c r="C11" s="6" t="inlineStr">
        <is>
          <t>Medium</t>
        </is>
      </c>
      <c r="D11" s="6" t="inlineStr">
        <is>
          <t>Từ chối trả lời câu hỏi có đáp án</t>
        </is>
      </c>
      <c r="E11" s="6" t="inlineStr">
        <is>
          <t>1. Mở RAG Lab / POST /api/rag/chat
2. Query: "Một chatbot nhận câu hỏi “bị sa thải khi đang mang thai thì quyền lợi thế nào?”. Theo mục lục sổ tay, retrieval nên mở rộng sang những nhóm nội dung nào?"</t>
        </is>
      </c>
      <c r="F11" s="6" t="inlineStr">
        <is>
          <t>Nên truy xuất ít nhất Phần V - Kỷ luật lao động và Phần VI - Chế độ đối với lao động nữ; tùy câu hỏi về khiếu kiện có thể cần thêm Phần VIII.</t>
        </is>
      </c>
      <c r="G11" s="6" t="inlineStr">
        <is>
          <t>Dựa trên tài liệu được cung cấp, tôi không tìm thấy thông tin để trả lời câu hỏi này.</t>
        </is>
      </c>
      <c r="H11" s="6" t="inlineStr">
        <is>
          <t>Từ chối trả lời dù câu hỏi có đáp án</t>
        </is>
      </c>
      <c r="I11" s="6" t="inlineStr">
        <is>
          <t>Open (candidate)</t>
        </is>
      </c>
    </row>
    <row r="12">
      <c r="A12" s="6" t="inlineStr">
        <is>
          <t>D-011</t>
        </is>
      </c>
      <c r="B12" s="6" t="inlineStr">
        <is>
          <t>LAW_C_002</t>
        </is>
      </c>
      <c r="C12" s="6" t="inlineStr">
        <is>
          <t>High</t>
        </is>
      </c>
      <c r="D12" s="6" t="inlineStr">
        <is>
          <t>Từ chối trả lời câu hỏi có đáp án</t>
        </is>
      </c>
      <c r="E12" s="6" t="inlineStr">
        <is>
          <t>1. Mở RAG Lab / POST /api/rag/chat
2. Query: "Văn bản đầu tiên trong mục lục của bộ tổng hợp là văn bản nào?"</t>
        </is>
      </c>
      <c r="F12" s="6" t="inlineStr">
        <is>
          <t>Bộ luật Lao động số 45/2019/QH14 ngày 20/11/2019.</t>
        </is>
      </c>
      <c r="G12" s="6" t="inlineStr">
        <is>
          <t>Dựa trên tài liệu được cung cấp, tôi không tìm thấy thông tin để trả lời câu hỏi này.</t>
        </is>
      </c>
      <c r="H12" s="6" t="inlineStr">
        <is>
          <t>Từ chối trả lời dù câu hỏi có đáp án</t>
        </is>
      </c>
      <c r="I12" s="6" t="inlineStr">
        <is>
          <t>Open (candidate)</t>
        </is>
      </c>
    </row>
    <row r="13">
      <c r="A13" s="6" t="inlineStr">
        <is>
          <t>D-012</t>
        </is>
      </c>
      <c r="B13" s="6" t="inlineStr">
        <is>
          <t>LAW_C_003</t>
        </is>
      </c>
      <c r="C13" s="6" t="inlineStr">
        <is>
          <t>High</t>
        </is>
      </c>
      <c r="D13" s="6" t="inlineStr">
        <is>
          <t>Từ chối trả lời câu hỏi có đáp án</t>
        </is>
      </c>
      <c r="E13" s="6" t="inlineStr">
        <is>
          <t>1. Mở RAG Lab / POST /api/rag/chat
2. Query: "Bộ tổng hợp có chứa Luật An toàn, vệ sinh lao động không?"</t>
        </is>
      </c>
      <c r="F13" s="6" t="inlineStr">
        <is>
          <t>Có. Mục lục liệt kê Luật An toàn, vệ sinh lao động số 84/2015/QH13.</t>
        </is>
      </c>
      <c r="G13" s="6" t="inlineStr">
        <is>
          <t>Dựa trên tài liệu được cung cấp, tôi không tìm thấy thông tin để trả lời câu hỏi này.</t>
        </is>
      </c>
      <c r="H13" s="6" t="inlineStr">
        <is>
          <t>Từ chối trả lời dù câu hỏi có đáp án</t>
        </is>
      </c>
      <c r="I13" s="6" t="inlineStr">
        <is>
          <t>Open (candidate)</t>
        </is>
      </c>
    </row>
    <row r="14">
      <c r="A14" s="6" t="inlineStr">
        <is>
          <t>D-013</t>
        </is>
      </c>
      <c r="B14" s="6" t="inlineStr">
        <is>
          <t>LAW_C_004</t>
        </is>
      </c>
      <c r="C14" s="6" t="inlineStr">
        <is>
          <t>High</t>
        </is>
      </c>
      <c r="D14" s="6" t="inlineStr">
        <is>
          <t>Từ chối trả lời câu hỏi có đáp án</t>
        </is>
      </c>
      <c r="E14" s="6" t="inlineStr">
        <is>
          <t>1. Mở RAG Lab / POST /api/rag/chat
2. Query: "Bộ tổng hợp có chứa Luật Việc làm không?"</t>
        </is>
      </c>
      <c r="F14" s="6" t="inlineStr">
        <is>
          <t>Có. Mục lục liệt kê Luật Việc làm số 38/2013/QH13.</t>
        </is>
      </c>
      <c r="G14" s="6" t="inlineStr">
        <is>
          <t>Dựa trên tài liệu được cung cấp, tôi không tìm thấy thông tin để trả lời câu hỏi này.</t>
        </is>
      </c>
      <c r="H14" s="6" t="inlineStr">
        <is>
          <t>Từ chối trả lời dù câu hỏi có đáp án</t>
        </is>
      </c>
      <c r="I14" s="6" t="inlineStr">
        <is>
          <t>Open (candidate)</t>
        </is>
      </c>
    </row>
    <row r="15">
      <c r="A15" s="6" t="inlineStr">
        <is>
          <t>D-014</t>
        </is>
      </c>
      <c r="B15" s="6" t="inlineStr">
        <is>
          <t>LAW_C_005</t>
        </is>
      </c>
      <c r="C15" s="6" t="inlineStr">
        <is>
          <t>High</t>
        </is>
      </c>
      <c r="D15" s="6" t="inlineStr">
        <is>
          <t>Từ chối trả lời câu hỏi có đáp án</t>
        </is>
      </c>
      <c r="E15" s="6" t="inlineStr">
        <is>
          <t>1. Mở RAG Lab / POST /api/rag/chat
2. Query: "Bộ tổng hợp có chứa Luật Công đoàn không?"</t>
        </is>
      </c>
      <c r="F15" s="6" t="inlineStr">
        <is>
          <t>Có. Mục lục liệt kê Luật Công đoàn số 12/2012/QH13.</t>
        </is>
      </c>
      <c r="G15" s="6" t="inlineStr">
        <is>
          <t>Dựa trên tài liệu được cung cấp, tôi không tìm thấy thông tin để trả lời câu hỏi này.</t>
        </is>
      </c>
      <c r="H15" s="6" t="inlineStr">
        <is>
          <t>Từ chối trả lời dù câu hỏi có đáp án</t>
        </is>
      </c>
      <c r="I15" s="6" t="inlineStr">
        <is>
          <t>Open (candidate)</t>
        </is>
      </c>
    </row>
    <row r="16">
      <c r="A16" s="6" t="inlineStr">
        <is>
          <t>D-015</t>
        </is>
      </c>
      <c r="B16" s="6" t="inlineStr">
        <is>
          <t>LAW_C_015</t>
        </is>
      </c>
      <c r="C16" s="6" t="inlineStr">
        <is>
          <t>Medium</t>
        </is>
      </c>
      <c r="D16" s="6" t="inlineStr">
        <is>
          <t>Từ chối trả lời câu hỏi có đáp án</t>
        </is>
      </c>
      <c r="E16" s="6" t="inlineStr">
        <is>
          <t>1. Mở RAG Lab / POST /api/rag/chat
2. Query: "Một câu hỏi vừa liên quan hợp đồng lao động vừa liên quan an toàn vệ sinh lao động. Bộ tổng hợp có những nhóm nguồn nào để retrieval?"</t>
        </is>
      </c>
      <c r="F16" s="6" t="inlineStr">
        <is>
          <t>Có thể truy xuất BLLĐ 2019, Nghị định 44/2013/NĐ-CP về HĐLĐ và Luật An toàn, vệ sinh lao động 84/2015/QH13 cùng các văn bản hướng dẫn liên quan trong bộ tổng hợp.</t>
        </is>
      </c>
      <c r="G16" s="6" t="inlineStr">
        <is>
          <t>Dựa trên tài liệu được cung cấp, tôi không tìm thấy thông tin để trả lời câu hỏi này.</t>
        </is>
      </c>
      <c r="H16" s="6" t="inlineStr">
        <is>
          <t>Từ chối trả lời dù câu hỏi có đáp án</t>
        </is>
      </c>
      <c r="I16" s="6" t="inlineStr">
        <is>
          <t>Open (candidate)</t>
        </is>
      </c>
    </row>
    <row r="17">
      <c r="A17" s="6" t="inlineStr">
        <is>
          <t>D-016</t>
        </is>
      </c>
      <c r="B17" s="6" t="inlineStr">
        <is>
          <t>LAW_C_016</t>
        </is>
      </c>
      <c r="C17" s="6" t="inlineStr">
        <is>
          <t>Medium</t>
        </is>
      </c>
      <c r="D17" s="6" t="inlineStr">
        <is>
          <t>Từ chối trả lời câu hỏi có đáp án</t>
        </is>
      </c>
      <c r="E17" s="6" t="inlineStr">
        <is>
          <t>1. Mở RAG Lab / POST /api/rag/chat
2. Query: "Tại sao tiêu đề “ĐANG CÓ HIỆU LỰC” của bộ tổng hợp không đủ để kết luận mọi văn bản trong đó còn hiệu lực vào năm 2026?"</t>
        </is>
      </c>
      <c r="F17" s="6" t="inlineStr">
        <is>
          <t>Vì trạng thái đó gắn với thời điểm cập nhật hết tháng 3/2020. Để trả lời cho năm 2026 cần nguồn cập nhật sau thời điểm này.</t>
        </is>
      </c>
      <c r="G17" s="6" t="inlineStr">
        <is>
          <t>Dựa trên tài liệu được cung cấp, tôi không tìm thấy thông tin để trả lời câu hỏi này.</t>
        </is>
      </c>
      <c r="H17" s="6" t="inlineStr">
        <is>
          <t>Từ chối trả lời dù câu hỏi có đáp án</t>
        </is>
      </c>
      <c r="I17" s="6" t="inlineStr">
        <is>
          <t>Open (candidate)</t>
        </is>
      </c>
    </row>
    <row r="18">
      <c r="A18" s="6" t="inlineStr">
        <is>
          <t>D-017</t>
        </is>
      </c>
      <c r="B18" s="6" t="inlineStr">
        <is>
          <t>LAW_C_018</t>
        </is>
      </c>
      <c r="C18" s="6" t="inlineStr">
        <is>
          <t>Medium</t>
        </is>
      </c>
      <c r="D18" s="6" t="inlineStr">
        <is>
          <t>Từ chối trả lời câu hỏi có đáp án</t>
        </is>
      </c>
      <c r="E18" s="6" t="inlineStr">
        <is>
          <t>1. Mở RAG Lab / POST /api/rag/chat
2. Query: "Nếu câu hỏi yêu cầu quy định BLLĐ 2019 nguyên gốc tại thời điểm ban hành, bộ tổng hợp có phù hợp không?"</t>
        </is>
      </c>
      <c r="F18" s="6" t="inlineStr">
        <is>
          <t>Có thể phù hợp vì tài liệu chứa Bộ luật Lao động 45/2019/QH14. Tuy nhiên cần phân biệt với yêu cầu “hiện hành 2026”, khi đó phải ưu tiên nguồn hợp nhất/cập nhật mới hơn.</t>
        </is>
      </c>
      <c r="G18" s="6" t="inlineStr">
        <is>
          <t>Dựa trên tài liệu được cung cấp, tôi không tìm thấy thông tin để trả lời câu hỏi này.</t>
        </is>
      </c>
      <c r="H18" s="6" t="inlineStr">
        <is>
          <t>Từ chối trả lời dù câu hỏi có đáp án</t>
        </is>
      </c>
      <c r="I18" s="6" t="inlineStr">
        <is>
          <t>Open (candidate)</t>
        </is>
      </c>
    </row>
    <row r="19">
      <c r="A19" s="6" t="inlineStr">
        <is>
          <t>D-018</t>
        </is>
      </c>
      <c r="B19" s="6" t="inlineStr">
        <is>
          <t>LAW_C_019</t>
        </is>
      </c>
      <c r="C19" s="6" t="inlineStr">
        <is>
          <t>Medium</t>
        </is>
      </c>
      <c r="D19" s="6" t="inlineStr">
        <is>
          <t>Từ chối trả lời câu hỏi có đáp án</t>
        </is>
      </c>
      <c r="E19" s="6" t="inlineStr">
        <is>
          <t>1. Mở RAG Lab / POST /api/rag/chat
2. Query: "Một truy vấn về người lao động nước ngoài và BHXH bắt buộc nên mở rộng retrieval đến những văn bản nào trong mục lục?"</t>
        </is>
      </c>
      <c r="F19" s="6" t="inlineStr">
        <is>
          <t>Ít nhất đến văn bản về lao động nước ngoài (VBHN 5325/VBHN-BLĐTBXH) và Nghị định 143/2018/NĐ-CP về BHXH bắt buộc đối với NLĐ là công dân nước ngoài làm việc tại Việt Nam.</t>
        </is>
      </c>
      <c r="G19" s="6" t="inlineStr">
        <is>
          <t>Dựa trên tài liệu được cung cấp, tôi không tìm thấy thông tin để trả lời câu hỏi này.</t>
        </is>
      </c>
      <c r="H19" s="6" t="inlineStr">
        <is>
          <t>Từ chối trả lời dù câu hỏi có đáp án</t>
        </is>
      </c>
      <c r="I19" s="6" t="inlineStr">
        <is>
          <t>Open (candidate)</t>
        </is>
      </c>
    </row>
    <row r="20">
      <c r="A20" s="6" t="inlineStr">
        <is>
          <t>D-019</t>
        </is>
      </c>
      <c r="B20" s="6" t="inlineStr">
        <is>
          <t>LAW_C_020</t>
        </is>
      </c>
      <c r="C20" s="6" t="inlineStr">
        <is>
          <t>Medium</t>
        </is>
      </c>
      <c r="D20" s="6" t="inlineStr">
        <is>
          <t>Từ chối trả lời câu hỏi có đáp án</t>
        </is>
      </c>
      <c r="E20" s="6" t="inlineStr">
        <is>
          <t>1. Mở RAG Lab / POST /api/rag/chat
2. Query: "Một truy vấn về lao động nữ vừa hỏi công việc bị cấm vừa hỏi chính sách bảo vệ nên retrieval đến những nguồn nào trong bộ tổng hợp?"</t>
        </is>
      </c>
      <c r="F20" s="6" t="inlineStr">
        <is>
          <t>Có thể cần Nghị định 85/2015/NĐ-CP về chính sách đối với lao động nữ và Thông tư 26/2013/TT-BLĐTBXH về danh mục công việc không được sử dụng lao động nữ, cùng quy định liên quan trong BLLĐ.</t>
        </is>
      </c>
      <c r="G20" s="6" t="inlineStr">
        <is>
          <t>Dựa trên tài liệu được cung cấp, tôi không tìm thấy thông tin để trả lời câu hỏi này.</t>
        </is>
      </c>
      <c r="H20" s="6" t="inlineStr">
        <is>
          <t>Từ chối trả lời dù câu hỏi có đáp án</t>
        </is>
      </c>
      <c r="I20" s="6" t="inlineStr">
        <is>
          <t>Open (candidate)</t>
        </is>
      </c>
    </row>
    <row r="21">
      <c r="A21" s="6" t="inlineStr">
        <is>
          <t>D-020</t>
        </is>
      </c>
      <c r="B21" s="6" t="inlineStr">
        <is>
          <t>LAW_D_004</t>
        </is>
      </c>
      <c r="C21" s="6" t="inlineStr">
        <is>
          <t>High</t>
        </is>
      </c>
      <c r="D21" s="6" t="inlineStr">
        <is>
          <t>Từ chối trả lời câu hỏi có đáp án</t>
        </is>
      </c>
      <c r="E21" s="6" t="inlineStr">
        <is>
          <t>1. Mở RAG Lab / POST /api/rag/chat
2. Query: "Chương I của cẩm nang nói về chủ đề gì?"</t>
        </is>
      </c>
      <c r="F21" s="6" t="inlineStr">
        <is>
          <t>Quan hệ lao động và hợp đồng lao động.</t>
        </is>
      </c>
      <c r="G21" s="6" t="inlineStr">
        <is>
          <t>Dựa trên tài liệu được cung cấp, tôi không tìm thấy thông tin để trả lời câu hỏi này.</t>
        </is>
      </c>
      <c r="H21" s="6" t="inlineStr">
        <is>
          <t>Từ chối trả lời dù câu hỏi có đáp án</t>
        </is>
      </c>
      <c r="I21" s="6" t="inlineStr">
        <is>
          <t>Open (candidate)</t>
        </is>
      </c>
    </row>
    <row r="22">
      <c r="A22" s="6" t="inlineStr">
        <is>
          <t>D-021</t>
        </is>
      </c>
      <c r="B22" s="6" t="inlineStr">
        <is>
          <t>LAW_D_013</t>
        </is>
      </c>
      <c r="C22" s="6" t="inlineStr">
        <is>
          <t>Medium</t>
        </is>
      </c>
      <c r="D22" s="6" t="inlineStr">
        <is>
          <t>Từ chối trả lời câu hỏi có đáp án</t>
        </is>
      </c>
      <c r="E22" s="6" t="inlineStr">
        <is>
          <t>1. Mở RAG Lab / POST /api/rag/chat
2. Query: "Muốn tra kỳ hạn trả lương, cần tìm mục nào?"</t>
        </is>
      </c>
      <c r="F22" s="6" t="inlineStr">
        <is>
          <t>Mục “Kỳ hạn trả lương” trong chương/phần về tiền lương.</t>
        </is>
      </c>
      <c r="G22" s="6" t="inlineStr">
        <is>
          <t>Dựa trên tài liệu được cung cấp, tôi không tìm thấy thông tin để trả lời câu hỏi này.</t>
        </is>
      </c>
      <c r="H22" s="6" t="inlineStr">
        <is>
          <t>Từ chối trả lời dù câu hỏi có đáp án</t>
        </is>
      </c>
      <c r="I22" s="6" t="inlineStr">
        <is>
          <t>Open (candidate)</t>
        </is>
      </c>
    </row>
    <row r="23">
      <c r="A23" s="6" t="inlineStr">
        <is>
          <t>D-022</t>
        </is>
      </c>
      <c r="B23" s="6" t="inlineStr">
        <is>
          <t>LAW_D_015</t>
        </is>
      </c>
      <c r="C23" s="6" t="inlineStr">
        <is>
          <t>Medium</t>
        </is>
      </c>
      <c r="D23" s="6" t="inlineStr">
        <is>
          <t>Từ chối trả lời câu hỏi có đáp án</t>
        </is>
      </c>
      <c r="E23" s="6" t="inlineStr">
        <is>
          <t>1. Mở RAG Lab / POST /api/rag/chat
2. Query: "Một doanh nghiệp hỏi vừa về chuyển NLĐ sang công việc khác vừa về chấm dứt HĐLĐ do thay đổi cơ cấu. Retrieval nên lấy những phần nào?"</t>
        </is>
      </c>
      <c r="F23" s="6" t="inlineStr">
        <is>
          <t>Cần kết hợp nội dung Chương I về chuyển NLĐ làm công việc khác so với HĐLĐ với phần chấm dứt HĐLĐ do thay đổi cơ cấu, công nghệ/lý do kinh tế.</t>
        </is>
      </c>
      <c r="G23" s="6" t="inlineStr">
        <is>
          <t>Dựa trên tài liệu được cung cấp, tôi không tìm thấy thông tin để trả lời câu hỏi này.</t>
        </is>
      </c>
      <c r="H23" s="6" t="inlineStr">
        <is>
          <t>Từ chối trả lời dù câu hỏi có đáp án</t>
        </is>
      </c>
      <c r="I23" s="6" t="inlineStr">
        <is>
          <t>Open (candidate)</t>
        </is>
      </c>
    </row>
    <row r="24">
      <c r="A24" s="6" t="inlineStr">
        <is>
          <t>D-023</t>
        </is>
      </c>
      <c r="B24" s="6" t="inlineStr">
        <is>
          <t>LAW_D_017</t>
        </is>
      </c>
      <c r="C24" s="6" t="inlineStr">
        <is>
          <t>Medium</t>
        </is>
      </c>
      <c r="D24" s="6" t="inlineStr">
        <is>
          <t>Từ chối trả lời câu hỏi có đáp án</t>
        </is>
      </c>
      <c r="E24" s="6" t="inlineStr">
        <is>
          <t>1. Mở RAG Lab / POST /api/rag/chat
2. Query: "Vì sao cẩm nang phù hợp để test câu hỏi “điểm mới” hơn một văn bản luật thuần túy?"</t>
        </is>
      </c>
      <c r="F24" s="6" t="inlineStr">
        <is>
          <t>Vì cẩm nang chủ động so sánh BLLĐ 2012 với BLLĐ 2019 và giải thích thay đổi, thay vì chỉ trình bày điều khoản hiện hành.</t>
        </is>
      </c>
      <c r="G24" s="6" t="inlineStr">
        <is>
          <t>Dựa trên tài liệu được cung cấp, tôi không tìm thấy thông tin để trả lời câu hỏi này.</t>
        </is>
      </c>
      <c r="H24" s="6" t="inlineStr">
        <is>
          <t>Từ chối trả lời dù câu hỏi có đáp án</t>
        </is>
      </c>
      <c r="I24" s="6" t="inlineStr">
        <is>
          <t>Open (candidate)</t>
        </is>
      </c>
    </row>
    <row r="25">
      <c r="A25" s="6" t="inlineStr">
        <is>
          <t>D-024</t>
        </is>
      </c>
      <c r="B25" s="6" t="inlineStr">
        <is>
          <t>LAW_D_018</t>
        </is>
      </c>
      <c r="C25" s="6" t="inlineStr">
        <is>
          <t>Medium</t>
        </is>
      </c>
      <c r="D25" s="6" t="inlineStr">
        <is>
          <t>Từ chối trả lời câu hỏi có đáp án</t>
        </is>
      </c>
      <c r="E25" s="6" t="inlineStr">
        <is>
          <t>1. Mở RAG Lab / POST /api/rag/chat
2. Query: "Nếu cẩm nang nói một quy định “mới” của BLLĐ 2019, RAG có nên tự suy ra đó vẫn là quy định mới nhất năm 2026 không?"</t>
        </is>
      </c>
      <c r="F25" s="6" t="inlineStr">
        <is>
          <t>Không. Cẩm nang xuất bản năm 2021 và tự lưu ý có thể có quy định mới chưa kịp cập nhật; câu hỏi hiện hành 2026 cần đối chiếu nguồn pháp luật cập nhật hơn.</t>
        </is>
      </c>
      <c r="G25" s="6" t="inlineStr">
        <is>
          <t>Dựa trên tài liệu được cung cấp, tôi không tìm thấy thông tin để trả lời câu hỏi này.</t>
        </is>
      </c>
      <c r="H25" s="6" t="inlineStr">
        <is>
          <t>Từ chối trả lời dù câu hỏi có đáp án</t>
        </is>
      </c>
      <c r="I25" s="6" t="inlineStr">
        <is>
          <t>Open (candidate)</t>
        </is>
      </c>
    </row>
    <row r="26">
      <c r="A26" s="6" t="inlineStr">
        <is>
          <t>D-025</t>
        </is>
      </c>
      <c r="B26" s="6" t="inlineStr">
        <is>
          <t>LAW_D_020</t>
        </is>
      </c>
      <c r="C26" s="6" t="inlineStr">
        <is>
          <t>Medium</t>
        </is>
      </c>
      <c r="D26" s="6" t="inlineStr">
        <is>
          <t>Từ chối trả lời câu hỏi có đáp án</t>
        </is>
      </c>
      <c r="E26" s="6" t="inlineStr">
        <is>
          <t>1. Mở RAG Lab / POST /api/rag/chat
2. Query: "Doanh nghiệp hỏi một tình huống vừa có dấu hiệu quan hệ lao động, thử việc và sau đó sa thải. Retrieval tối thiểu nên phủ những phần nào của cẩm nang?"</t>
        </is>
      </c>
      <c r="F26" s="6" t="inlineStr">
        <is>
          <t>Ít nhất Chương I về quan hệ lao động/HĐLĐ và thử việc, cùng Chương III về xử lý kỷ luật lao động/sa thải; nếu có chấm dứt HĐLĐ ngoài kỷ luật thì cần thêm chương chấm dứt HĐLĐ.</t>
        </is>
      </c>
      <c r="G26" s="6" t="inlineStr">
        <is>
          <t>Dựa trên tài liệu được cung cấp, tôi không tìm thấy thông tin để trả lời câu hỏi này.</t>
        </is>
      </c>
      <c r="H26" s="6" t="inlineStr">
        <is>
          <t>Từ chối trả lời dù câu hỏi có đáp án</t>
        </is>
      </c>
      <c r="I26" s="6" t="inlineStr">
        <is>
          <t>Open (candidate)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6" customWidth="1" min="1" max="1"/>
    <col width="110" customWidth="1" min="2" max="2"/>
  </cols>
  <sheetData>
    <row r="1">
      <c r="A1" s="2" t="inlineStr">
        <is>
          <t>Item</t>
        </is>
      </c>
      <c r="B1" s="2" t="inlineStr">
        <is>
          <t>Value</t>
        </is>
      </c>
    </row>
    <row r="2">
      <c r="A2" t="inlineStr">
        <is>
          <t>Report generated</t>
        </is>
      </c>
      <c r="B2" t="inlineStr">
        <is>
          <t>2026-10-21T15:08:52</t>
        </is>
      </c>
    </row>
    <row r="3">
      <c r="A3" t="inlineStr">
        <is>
          <t>Test execution</t>
        </is>
      </c>
      <c r="B3" t="inlineStr">
        <is>
          <t>2026-10-20T14:27:37 → 2026-10-20T15:01:06</t>
        </is>
      </c>
    </row>
    <row r="4">
      <c r="A4" t="inlineStr">
        <is>
          <t>Test file</t>
        </is>
      </c>
      <c r="B4" t="inlineStr">
        <is>
          <t>TC_LuatLD.xlsx (sha256 195630469b6ee5e2)</t>
        </is>
      </c>
    </row>
    <row r="5">
      <c r="A5" t="inlineStr">
        <is>
          <t>Test cases</t>
        </is>
      </c>
      <c r="B5" t="n">
        <v>100</v>
      </c>
    </row>
    <row r="6">
      <c r="A6" t="inlineStr">
        <is>
          <t>API</t>
        </is>
      </c>
      <c r="B6" t="inlineStr">
        <is>
          <t>http://127.0.0.1:8001</t>
        </is>
      </c>
    </row>
    <row r="7">
      <c r="A7" t="inlineStr">
        <is>
          <t>LLM provider override</t>
        </is>
      </c>
      <c r="B7" t="inlineStr">
        <is>
          <t>(server default)</t>
        </is>
      </c>
    </row>
    <row r="8">
      <c r="A8" t="inlineStr">
        <is>
          <t>LLM models used (from responses)</t>
        </is>
      </c>
      <c r="B8" t="inlineStr">
        <is>
          <t>gemini-3.5-flash-lite: 82; (no LLM call: early exit): 18</t>
        </is>
      </c>
    </row>
    <row r="9">
      <c r="A9" t="inlineStr">
        <is>
          <t>Git commit</t>
        </is>
      </c>
      <c r="B9" t="inlineStr">
        <is>
          <t>b1b412d + 30 uncommitted file(s) in src/, frontend/src, evaluation/</t>
        </is>
      </c>
    </row>
    <row r="10">
      <c r="A10" t="inlineStr">
        <is>
          <t>Indexed documents</t>
        </is>
      </c>
      <c r="B10" t="n">
        <v>5</v>
      </c>
    </row>
    <row r="11">
      <c r="A11" t="inlineStr">
        <is>
          <t>Pages / elements / chunks / vectors</t>
        </is>
      </c>
      <c r="B11" t="inlineStr">
        <is>
          <t>1428 / 21527 / 4654 / 4654</t>
        </is>
      </c>
    </row>
    <row r="12">
      <c r="A12" t="inlineStr">
        <is>
          <t>Embedding model / device</t>
        </is>
      </c>
      <c r="B12" t="inlineStr">
        <is>
          <t>BAAI/bge-m3 / cpu</t>
        </is>
      </c>
    </row>
    <row r="13">
      <c r="A13" t="inlineStr">
        <is>
          <t>config EMBEDDING_MODEL</t>
        </is>
      </c>
      <c r="B13" t="inlineStr">
        <is>
          <t>(default)</t>
        </is>
      </c>
    </row>
    <row r="14">
      <c r="A14" t="inlineStr">
        <is>
          <t>config RERANKER_MODEL</t>
        </is>
      </c>
      <c r="B14" t="inlineStr">
        <is>
          <t>(default)</t>
        </is>
      </c>
    </row>
    <row r="15">
      <c r="A15" t="inlineStr">
        <is>
          <t>config RETRIEVAL_TOP_K</t>
        </is>
      </c>
      <c r="B15" t="inlineStr">
        <is>
          <t>10</t>
        </is>
      </c>
    </row>
    <row r="16">
      <c r="A16" t="inlineStr">
        <is>
          <t>config RERANK_TOP_N</t>
        </is>
      </c>
      <c r="B16" t="inlineStr">
        <is>
          <t>(default)</t>
        </is>
      </c>
    </row>
    <row r="17">
      <c r="A17" t="inlineStr">
        <is>
          <t>config RERANK_THRESHOLD</t>
        </is>
      </c>
      <c r="B17" t="inlineStr">
        <is>
          <t>(default)</t>
        </is>
      </c>
    </row>
    <row r="18">
      <c r="A18" t="inlineStr">
        <is>
          <t>config MAX_CONTEXT_TOKENS</t>
        </is>
      </c>
      <c r="B18" t="inlineStr">
        <is>
          <t>(default)</t>
        </is>
      </c>
    </row>
    <row r="19">
      <c r="A19" t="inlineStr">
        <is>
          <t>config LLM_PROVIDER</t>
        </is>
      </c>
      <c r="B19" t="inlineStr">
        <is>
          <t>gemini</t>
        </is>
      </c>
    </row>
    <row r="20">
      <c r="A20" t="inlineStr">
        <is>
          <t>config LLM_MODEL</t>
        </is>
      </c>
      <c r="B20" t="inlineStr">
        <is>
          <t>gemini-3.6-flash</t>
        </is>
      </c>
    </row>
    <row r="21">
      <c r="A21" t="inlineStr">
        <is>
          <t>config GEMINI_MODEL</t>
        </is>
      </c>
      <c r="B21" t="inlineStr">
        <is>
          <t>gemini-3.5-flash-lite</t>
        </is>
      </c>
    </row>
    <row r="22">
      <c r="A22" t="inlineStr">
        <is>
          <t>config OPENAI_MODEL</t>
        </is>
      </c>
      <c r="B22" t="inlineStr">
        <is>
          <t>(default)</t>
        </is>
      </c>
    </row>
    <row r="23">
      <c r="A23" t="inlineStr">
        <is>
          <t>config OLLAMA_MODEL</t>
        </is>
      </c>
      <c r="B23" t="inlineStr">
        <is>
          <t>(default)</t>
        </is>
      </c>
    </row>
    <row r="24">
      <c r="A24" t="inlineStr">
        <is>
          <t>config PREFERRED_SOURCES</t>
        </is>
      </c>
      <c r="B24" t="inlineStr">
        <is>
          <t>Văn-bản-hợp-nhất-18-VBHN-VPQH.pdf</t>
        </is>
      </c>
    </row>
    <row r="25">
      <c r="A25" t="inlineStr">
        <is>
          <t>config TORCH_DEVICE</t>
        </is>
      </c>
      <c r="B25" t="inlineStr">
        <is>
          <t>(default)</t>
        </is>
      </c>
    </row>
    <row r="26">
      <c r="A26" t="inlineStr">
        <is>
          <t>Group → document</t>
        </is>
      </c>
      <c r="B26" t="inlineStr">
        <is>
          <t>A: giao trinh Luat lao dong CB 2005 (1).pdf; B: so-tay-kien-thuc-phap-luat-lao-dong-cdi.pdf; C: luu-ban-nhap-tu-dong-3-4.pdf; D: ILO-VCCI_Labour-Law-Guide-Book-V04-Final.pdf; E: Văn-bản-hợp-nhất-18-VBHN-VPQH.pdf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13"/>
  <sheetViews>
    <sheetView workbookViewId="0">
      <selection activeCell="A1" sqref="A1"/>
    </sheetView>
  </sheetViews>
  <sheetFormatPr baseColWidth="8" defaultRowHeight="15"/>
  <cols>
    <col width="40" customWidth="1" min="1" max="1"/>
    <col width="50" customWidth="1" min="7" max="7"/>
  </cols>
  <sheetData>
    <row r="1">
      <c r="A1" s="8" t="inlineStr">
        <is>
          <t>Recall@5 trên gold chunk (gán tự động, tester xác nhận)</t>
        </is>
      </c>
    </row>
    <row r="2">
      <c r="A2" s="2" t="inlineStr">
        <is>
          <t>Scope</t>
        </is>
      </c>
      <c r="B2" s="2" t="inlineStr">
        <is>
          <t>Cases</t>
        </is>
      </c>
      <c r="C2" s="2" t="inlineStr">
        <is>
          <t>With gold</t>
        </is>
      </c>
      <c r="D2" s="2" t="inlineStr">
        <is>
          <t>Recall@5 (context to LLM)</t>
        </is>
      </c>
      <c r="E2" s="2" t="inlineStr">
        <is>
          <t>Recall@5 (ranking)</t>
        </is>
      </c>
      <c r="F2" s="2" t="inlineStr">
        <is>
          <t>Hit@5</t>
        </is>
      </c>
      <c r="G2" s="2" t="inlineStr">
        <is>
          <t>MRR@5</t>
        </is>
      </c>
      <c r="H2" s="2" t="inlineStr">
        <is>
          <t>Gold in hybrid candidates</t>
        </is>
      </c>
    </row>
    <row r="3">
      <c r="A3" t="inlineStr">
        <is>
          <t>ALL</t>
        </is>
      </c>
      <c r="B3" t="n">
        <v>100</v>
      </c>
      <c r="C3" t="n">
        <v>95</v>
      </c>
      <c r="D3" s="3" t="n">
        <v>0.4543859649122807</v>
      </c>
      <c r="E3" s="3" t="n">
        <v>0.5719298245614035</v>
      </c>
      <c r="F3" s="3" t="n">
        <v>0.6526315789473685</v>
      </c>
      <c r="G3" t="n">
        <v>0.4708771929824562</v>
      </c>
      <c r="H3" s="3" t="n">
        <v>0.7894736842105263</v>
      </c>
    </row>
    <row r="4">
      <c r="A4" t="inlineStr">
        <is>
          <t>giao trinh Luat lao dong CB 2005 (1)</t>
        </is>
      </c>
      <c r="B4" t="n">
        <v>20</v>
      </c>
      <c r="C4" t="n">
        <v>19</v>
      </c>
      <c r="D4" s="3" t="n">
        <v>0.7017543859649124</v>
      </c>
      <c r="E4" s="3" t="n">
        <v>0.7017543859649124</v>
      </c>
      <c r="F4" s="3" t="n">
        <v>0.7894736842105263</v>
      </c>
      <c r="G4" t="n">
        <v>0.6096491228070176</v>
      </c>
      <c r="H4" s="3" t="n">
        <v>0.8421052631578947</v>
      </c>
    </row>
    <row r="5">
      <c r="A5" t="inlineStr">
        <is>
          <t>so-tay-kien-thuc-phap-luat-lao-dong-cdi</t>
        </is>
      </c>
      <c r="B5" t="n">
        <v>20</v>
      </c>
      <c r="C5" t="n">
        <v>19</v>
      </c>
      <c r="D5" s="3" t="n">
        <v>0.2017543859649123</v>
      </c>
      <c r="E5" s="3" t="n">
        <v>0.3859649122807017</v>
      </c>
      <c r="F5" s="3" t="n">
        <v>0.4736842105263158</v>
      </c>
      <c r="G5" t="n">
        <v>0.3394736842105263</v>
      </c>
      <c r="H5" s="3" t="n">
        <v>0.5789473684210527</v>
      </c>
    </row>
    <row r="6">
      <c r="A6" t="inlineStr">
        <is>
          <t>luu-ban-nhap-tu-dong-3-4</t>
        </is>
      </c>
      <c r="B6" t="n">
        <v>20</v>
      </c>
      <c r="C6" t="n">
        <v>18</v>
      </c>
      <c r="D6" s="3" t="n">
        <v>0.3148148148148148</v>
      </c>
      <c r="E6" s="3" t="n">
        <v>0.5462962962962963</v>
      </c>
      <c r="F6" s="3" t="n">
        <v>0.6111111111111112</v>
      </c>
      <c r="G6" t="n">
        <v>0.4305555555555556</v>
      </c>
      <c r="H6" s="3" t="n">
        <v>0.8333333333333334</v>
      </c>
    </row>
    <row r="7">
      <c r="A7" t="inlineStr">
        <is>
          <t>ILO-VCCI_Labour-Law-Guide-Book-V04-Final</t>
        </is>
      </c>
      <c r="B7" t="n">
        <v>20</v>
      </c>
      <c r="C7" t="n">
        <v>19</v>
      </c>
      <c r="D7" s="3" t="n">
        <v>0.3859649122807018</v>
      </c>
      <c r="E7" s="3" t="n">
        <v>0.4385964912280702</v>
      </c>
      <c r="F7" s="3" t="n">
        <v>0.5789473684210527</v>
      </c>
      <c r="G7" t="n">
        <v>0.4035087719298245</v>
      </c>
      <c r="H7" s="3" t="n">
        <v>0.8421052631578947</v>
      </c>
    </row>
    <row r="8">
      <c r="A8" t="inlineStr">
        <is>
          <t>Văn-bản-hợp-nhất-18-VBHN-VPQH</t>
        </is>
      </c>
      <c r="B8" t="n">
        <v>20</v>
      </c>
      <c r="C8" t="n">
        <v>20</v>
      </c>
      <c r="D8" s="3" t="n">
        <v>0.65</v>
      </c>
      <c r="E8" s="3" t="n">
        <v>0.775</v>
      </c>
      <c r="F8" s="3" t="n">
        <v>0.8</v>
      </c>
      <c r="G8" t="n">
        <v>0.5641666666666666</v>
      </c>
      <c r="H8" s="3" t="n">
        <v>0.85</v>
      </c>
    </row>
    <row r="9">
      <c r="A9" t="inlineStr">
        <is>
          <t>Easy</t>
        </is>
      </c>
      <c r="B9" t="n">
        <v>35</v>
      </c>
      <c r="C9" t="n">
        <v>35</v>
      </c>
      <c r="D9" s="3" t="n">
        <v>0.5142857142857142</v>
      </c>
      <c r="E9" s="3" t="n">
        <v>0.638095238095238</v>
      </c>
      <c r="F9" s="3" t="n">
        <v>0.7428571428571429</v>
      </c>
      <c r="G9" t="n">
        <v>0.5452380952380953</v>
      </c>
      <c r="H9" s="3" t="n">
        <v>0.8285714285714286</v>
      </c>
    </row>
    <row r="10">
      <c r="A10" t="inlineStr">
        <is>
          <t>Medium</t>
        </is>
      </c>
      <c r="B10" t="n">
        <v>35</v>
      </c>
      <c r="C10" t="n">
        <v>35</v>
      </c>
      <c r="D10" s="3" t="n">
        <v>0.4523809523809524</v>
      </c>
      <c r="E10" s="3" t="n">
        <v>0.5238095238095238</v>
      </c>
      <c r="F10" s="3" t="n">
        <v>0.5714285714285714</v>
      </c>
      <c r="G10" t="n">
        <v>0.4023809523809524</v>
      </c>
      <c r="H10" s="3" t="n">
        <v>0.7428571428571429</v>
      </c>
    </row>
    <row r="11">
      <c r="A11" t="inlineStr">
        <is>
          <t>Hard</t>
        </is>
      </c>
      <c r="B11" t="n">
        <v>30</v>
      </c>
      <c r="C11" t="n">
        <v>25</v>
      </c>
      <c r="D11" s="3" t="n">
        <v>0.3733333333333334</v>
      </c>
      <c r="E11" s="3" t="n">
        <v>0.5466666666666667</v>
      </c>
      <c r="F11" s="3" t="n">
        <v>0.64</v>
      </c>
      <c r="G11" t="n">
        <v>0.4626666666666667</v>
      </c>
      <c r="H11" s="3" t="n">
        <v>0.8</v>
      </c>
    </row>
    <row r="12"/>
    <row r="13">
      <c r="A13" s="2" t="inlineStr">
        <is>
          <t>ID</t>
        </is>
      </c>
      <c r="B13" s="2" t="inlineStr">
        <is>
          <t>Group</t>
        </is>
      </c>
      <c r="C13" s="2" t="inlineStr">
        <is>
          <t>Category</t>
        </is>
      </c>
      <c r="D13" s="2" t="inlineStr">
        <is>
          <t>Difficulty</t>
        </is>
      </c>
      <c r="E13" s="2" t="inlineStr">
        <is>
          <t>Status</t>
        </is>
      </c>
      <c r="F13" s="2" t="inlineStr">
        <is>
          <t>Stage</t>
        </is>
      </c>
      <c r="G13" s="2" t="inlineStr">
        <is>
          <t>Gold chunks</t>
        </is>
      </c>
      <c r="H13" s="2" t="inlineStr">
        <is>
          <t>Gold score</t>
        </is>
      </c>
      <c r="I13" s="2" t="inlineStr">
        <is>
          <t>Recall@5 ctx</t>
        </is>
      </c>
      <c r="J13" s="2" t="inlineStr">
        <is>
          <t>Recall@5 rank</t>
        </is>
      </c>
      <c r="K13" s="2" t="inlineStr">
        <is>
          <t>RR@5</t>
        </is>
      </c>
      <c r="L13" s="2" t="inlineStr">
        <is>
          <t>Gold in candidates</t>
        </is>
      </c>
    </row>
    <row r="14">
      <c r="A14" t="inlineStr">
        <is>
          <t>LAW_A_001</t>
        </is>
      </c>
      <c r="B14" t="inlineStr">
        <is>
          <t>A</t>
        </is>
      </c>
      <c r="C14" t="inlineStr">
        <is>
          <t>Definition</t>
        </is>
      </c>
      <c r="D14" t="inlineStr">
        <is>
          <t>Easy</t>
        </is>
      </c>
      <c r="E14" t="inlineStr">
        <is>
          <t>PASS</t>
        </is>
      </c>
      <c r="F14" t="inlineStr">
        <is>
          <t>OK</t>
        </is>
      </c>
      <c r="G14" t="inlineStr">
        <is>
          <t>giao trinh Luat lao dong CB 2005 (1)_sec_749_chunk_749
giao trinh Luat lao dong CB 2005 (1)_sec_754_chunk_754</t>
        </is>
      </c>
      <c r="H14" s="3" t="n">
        <v>1.1</v>
      </c>
      <c r="I14" s="3" t="n">
        <v>0.5</v>
      </c>
      <c r="J14" s="3" t="n">
        <v>0.5</v>
      </c>
      <c r="K14" t="n">
        <v>1</v>
      </c>
      <c r="L14" t="b">
        <v>1</v>
      </c>
    </row>
    <row r="15">
      <c r="A15" t="inlineStr">
        <is>
          <t>LAW_A_002</t>
        </is>
      </c>
      <c r="B15" t="inlineStr">
        <is>
          <t>A</t>
        </is>
      </c>
      <c r="C15" t="inlineStr">
        <is>
          <t>Definition</t>
        </is>
      </c>
      <c r="D15" t="inlineStr">
        <is>
          <t>Easy</t>
        </is>
      </c>
      <c r="E15" t="inlineStr">
        <is>
          <t>PASS</t>
        </is>
      </c>
      <c r="F15" t="inlineStr">
        <is>
          <t>OK</t>
        </is>
      </c>
      <c r="G15" t="inlineStr">
        <is>
          <t>giao trinh Luat lao dong CB 2005 (1)_sec_751_chunk_751
giao trinh Luat lao dong CB 2005 (1)_sec_750_chunk_750</t>
        </is>
      </c>
      <c r="H15" s="3" t="n">
        <v>1.1</v>
      </c>
      <c r="I15" s="3" t="n">
        <v>1</v>
      </c>
      <c r="J15" s="3" t="n">
        <v>1</v>
      </c>
      <c r="K15" t="n">
        <v>0.5</v>
      </c>
      <c r="L15" t="b">
        <v>1</v>
      </c>
    </row>
    <row r="16">
      <c r="A16" t="inlineStr">
        <is>
          <t>LAW_A_003</t>
        </is>
      </c>
      <c r="B16" t="inlineStr">
        <is>
          <t>A</t>
        </is>
      </c>
      <c r="C16" t="inlineStr">
        <is>
          <t>List</t>
        </is>
      </c>
      <c r="D16" t="inlineStr">
        <is>
          <t>Easy</t>
        </is>
      </c>
      <c r="E16" t="inlineStr">
        <is>
          <t>PASS</t>
        </is>
      </c>
      <c r="F16" t="inlineStr">
        <is>
          <t>OK</t>
        </is>
      </c>
      <c r="G16" t="inlineStr">
        <is>
          <t>giao trinh Luat lao dong CB 2005 (1)_sec_754_chunk_754</t>
        </is>
      </c>
      <c r="H16" s="3" t="n">
        <v>1.1</v>
      </c>
      <c r="I16" s="3" t="n">
        <v>1</v>
      </c>
      <c r="J16" s="3" t="n">
        <v>1</v>
      </c>
      <c r="K16" t="n">
        <v>1</v>
      </c>
      <c r="L16" t="b">
        <v>1</v>
      </c>
    </row>
    <row r="17">
      <c r="A17" t="inlineStr">
        <is>
          <t>LAW_A_004</t>
        </is>
      </c>
      <c r="B17" t="inlineStr">
        <is>
          <t>A</t>
        </is>
      </c>
      <c r="C17" t="inlineStr">
        <is>
          <t>Definition</t>
        </is>
      </c>
      <c r="D17" t="inlineStr">
        <is>
          <t>Easy</t>
        </is>
      </c>
      <c r="E17" t="inlineStr">
        <is>
          <t>PASS</t>
        </is>
      </c>
      <c r="F17" t="inlineStr">
        <is>
          <t>OK</t>
        </is>
      </c>
      <c r="G17" t="inlineStr">
        <is>
          <t>giao trinh Luat lao dong CB 2005 (1)_sec_781_chunk_781</t>
        </is>
      </c>
      <c r="H17" s="3" t="n">
        <v>1.1</v>
      </c>
      <c r="I17" s="3" t="n">
        <v>1</v>
      </c>
      <c r="J17" s="3" t="n">
        <v>1</v>
      </c>
      <c r="K17" t="n">
        <v>0.5</v>
      </c>
      <c r="L17" t="b">
        <v>1</v>
      </c>
    </row>
    <row r="18">
      <c r="A18" t="inlineStr">
        <is>
          <t>LAW_A_005</t>
        </is>
      </c>
      <c r="B18" t="inlineStr">
        <is>
          <t>A</t>
        </is>
      </c>
      <c r="C18" t="inlineStr">
        <is>
          <t>Direct Fact</t>
        </is>
      </c>
      <c r="D18" t="inlineStr">
        <is>
          <t>Easy</t>
        </is>
      </c>
      <c r="E18" t="inlineStr">
        <is>
          <t>PASS</t>
        </is>
      </c>
      <c r="F18" t="inlineStr">
        <is>
          <t>OK</t>
        </is>
      </c>
      <c r="G18" t="inlineStr">
        <is>
          <t>giao trinh Luat lao dong CB 2005 (1)_sec_755_chunk_755</t>
        </is>
      </c>
      <c r="H18" s="3" t="n">
        <v>1.1</v>
      </c>
      <c r="I18" s="3" t="n">
        <v>1</v>
      </c>
      <c r="J18" s="3" t="n">
        <v>1</v>
      </c>
      <c r="K18" t="n">
        <v>1</v>
      </c>
      <c r="L18" t="b">
        <v>1</v>
      </c>
    </row>
    <row r="19">
      <c r="A19" t="inlineStr">
        <is>
          <t>LAW_A_006</t>
        </is>
      </c>
      <c r="B19" t="inlineStr">
        <is>
          <t>A</t>
        </is>
      </c>
      <c r="C19" t="inlineStr">
        <is>
          <t>Concept</t>
        </is>
      </c>
      <c r="D19" t="inlineStr">
        <is>
          <t>Easy</t>
        </is>
      </c>
      <c r="E19" t="inlineStr">
        <is>
          <t>PASS</t>
        </is>
      </c>
      <c r="F19" t="inlineStr">
        <is>
          <t>OK</t>
        </is>
      </c>
      <c r="G19" t="inlineStr">
        <is>
          <t>giao trinh Luat lao dong CB 2005 (1)_sec_756_chunk_756</t>
        </is>
      </c>
      <c r="H19" s="3" t="n">
        <v>1.1</v>
      </c>
      <c r="I19" s="3" t="n">
        <v>1</v>
      </c>
      <c r="J19" s="3" t="n">
        <v>1</v>
      </c>
      <c r="K19" t="n">
        <v>1</v>
      </c>
      <c r="L19" t="b">
        <v>1</v>
      </c>
    </row>
    <row r="20">
      <c r="A20" t="inlineStr">
        <is>
          <t>LAW_A_007</t>
        </is>
      </c>
      <c r="B20" t="inlineStr">
        <is>
          <t>A</t>
        </is>
      </c>
      <c r="C20" t="inlineStr">
        <is>
          <t>Definition</t>
        </is>
      </c>
      <c r="D20" t="inlineStr">
        <is>
          <t>Easy</t>
        </is>
      </c>
      <c r="E20" t="inlineStr">
        <is>
          <t>PARTIAL</t>
        </is>
      </c>
      <c r="F20" t="inlineStr">
        <is>
          <t>WRONG_SOURCE_ANSWER</t>
        </is>
      </c>
      <c r="G20" t="inlineStr">
        <is>
          <t>giao trinh Luat lao dong CB 2005 (1)_sec_770_chunk_770</t>
        </is>
      </c>
      <c r="H20" s="3" t="n">
        <v>0.895</v>
      </c>
      <c r="I20" s="3" t="n">
        <v>0</v>
      </c>
      <c r="J20" s="3" t="n">
        <v>0</v>
      </c>
      <c r="K20" t="n">
        <v>0</v>
      </c>
      <c r="L20" t="b">
        <v>1</v>
      </c>
    </row>
    <row r="21">
      <c r="A21" t="inlineStr">
        <is>
          <t>LAW_A_008</t>
        </is>
      </c>
      <c r="B21" t="inlineStr">
        <is>
          <t>A</t>
        </is>
      </c>
      <c r="C21" t="inlineStr">
        <is>
          <t>Direct Fact</t>
        </is>
      </c>
      <c r="D21" t="inlineStr">
        <is>
          <t>Medium</t>
        </is>
      </c>
      <c r="E21" t="inlineStr">
        <is>
          <t>PASS</t>
        </is>
      </c>
      <c r="F21" t="inlineStr">
        <is>
          <t>OK</t>
        </is>
      </c>
      <c r="G21" t="inlineStr">
        <is>
          <t>giao trinh Luat lao dong CB 2005 (1)_sec_913_chunk_913
giao trinh Luat lao dong CB 2005 (1)_sec_972_chunk_972</t>
        </is>
      </c>
      <c r="H21" s="3" t="n">
        <v>1.1</v>
      </c>
      <c r="I21" s="3" t="n">
        <v>1</v>
      </c>
      <c r="J21" s="3" t="n">
        <v>1</v>
      </c>
      <c r="K21" t="n">
        <v>0.5</v>
      </c>
      <c r="L21" t="b">
        <v>1</v>
      </c>
    </row>
    <row r="22">
      <c r="A22" t="inlineStr">
        <is>
          <t>LAW_A_009</t>
        </is>
      </c>
      <c r="B22" t="inlineStr">
        <is>
          <t>A</t>
        </is>
      </c>
      <c r="C22" t="inlineStr">
        <is>
          <t>Direct Fact</t>
        </is>
      </c>
      <c r="D22" t="inlineStr">
        <is>
          <t>Medium</t>
        </is>
      </c>
      <c r="E22" t="inlineStr">
        <is>
          <t>PARTIAL</t>
        </is>
      </c>
      <c r="F22" t="inlineStr">
        <is>
          <t>LLM_ANSWER</t>
        </is>
      </c>
      <c r="G22" t="inlineStr">
        <is>
          <t>giao trinh Luat lao dong CB 2005 (1)_sec_913_chunk_913
giao trinh Luat lao dong CB 2005 (1)_sec_972_chunk_972</t>
        </is>
      </c>
      <c r="H22" s="3" t="n">
        <v>1.1</v>
      </c>
      <c r="I22" s="3" t="n">
        <v>1</v>
      </c>
      <c r="J22" s="3" t="n">
        <v>1</v>
      </c>
      <c r="K22" t="n">
        <v>0.25</v>
      </c>
      <c r="L22" t="b">
        <v>1</v>
      </c>
    </row>
    <row r="23">
      <c r="A23" t="inlineStr">
        <is>
          <t>LAW_A_010</t>
        </is>
      </c>
      <c r="B23" t="inlineStr">
        <is>
          <t>A</t>
        </is>
      </c>
      <c r="C23" t="inlineStr">
        <is>
          <t>Direct Fact</t>
        </is>
      </c>
      <c r="D23" t="inlineStr">
        <is>
          <t>Medium</t>
        </is>
      </c>
      <c r="E23" t="inlineStr">
        <is>
          <t>PASS</t>
        </is>
      </c>
      <c r="F23" t="inlineStr">
        <is>
          <t>OK</t>
        </is>
      </c>
      <c r="G23" t="inlineStr">
        <is>
          <t>giao trinh Luat lao dong CB 2005 (1)_sec_913_chunk_913
giao trinh Luat lao dong CB 2005 (1)_sec_972_chunk_972</t>
        </is>
      </c>
      <c r="H23" s="3" t="n">
        <v>0.975</v>
      </c>
      <c r="I23" s="3" t="n">
        <v>0.5</v>
      </c>
      <c r="J23" s="3" t="n">
        <v>0.5</v>
      </c>
      <c r="K23" t="n">
        <v>0.5</v>
      </c>
      <c r="L23" t="b">
        <v>1</v>
      </c>
    </row>
    <row r="24">
      <c r="A24" t="inlineStr">
        <is>
          <t>LAW_A_011</t>
        </is>
      </c>
      <c r="B24" t="inlineStr">
        <is>
          <t>A</t>
        </is>
      </c>
      <c r="C24" t="inlineStr">
        <is>
          <t>Rule</t>
        </is>
      </c>
      <c r="D24" t="inlineStr">
        <is>
          <t>Medium</t>
        </is>
      </c>
      <c r="E24" t="inlineStr">
        <is>
          <t>PARTIAL</t>
        </is>
      </c>
      <c r="F24" t="inlineStr">
        <is>
          <t>WRONG_SOURCE_ANSWER</t>
        </is>
      </c>
      <c r="G24" t="inlineStr">
        <is>
          <t>giao trinh Luat lao dong CB 2005 (1)_sec_967_chunk_967
giao trinh Luat lao dong CB 2005 (1)_sec_972_chunk_972</t>
        </is>
      </c>
      <c r="H24" s="3" t="n">
        <v>1.1</v>
      </c>
      <c r="I24" s="3" t="n">
        <v>0</v>
      </c>
      <c r="J24" s="3" t="n">
        <v>0</v>
      </c>
      <c r="K24" t="n">
        <v>0</v>
      </c>
      <c r="L24" t="b">
        <v>0</v>
      </c>
    </row>
    <row r="25">
      <c r="A25" t="inlineStr">
        <is>
          <t>LAW_A_012</t>
        </is>
      </c>
      <c r="B25" t="inlineStr">
        <is>
          <t>A</t>
        </is>
      </c>
      <c r="C25" t="inlineStr">
        <is>
          <t>Concept</t>
        </is>
      </c>
      <c r="D25" t="inlineStr">
        <is>
          <t>Medium</t>
        </is>
      </c>
      <c r="E25" t="inlineStr">
        <is>
          <t>PASS</t>
        </is>
      </c>
      <c r="F25" t="inlineStr">
        <is>
          <t>OK</t>
        </is>
      </c>
      <c r="G25" t="inlineStr">
        <is>
          <t>giao trinh Luat lao dong CB 2005 (1)_sec_763_chunk_763
giao trinh Luat lao dong CB 2005 (1)_sec_764_chunk_764</t>
        </is>
      </c>
      <c r="H25" s="3" t="n">
        <v>0.981</v>
      </c>
      <c r="I25" s="3" t="n">
        <v>1</v>
      </c>
      <c r="J25" s="3" t="n">
        <v>1</v>
      </c>
      <c r="K25" t="n">
        <v>1</v>
      </c>
      <c r="L25" t="b">
        <v>1</v>
      </c>
    </row>
    <row r="26">
      <c r="A26" t="inlineStr">
        <is>
          <t>LAW_A_013</t>
        </is>
      </c>
      <c r="B26" t="inlineStr">
        <is>
          <t>A</t>
        </is>
      </c>
      <c r="C26" t="inlineStr">
        <is>
          <t>Comparison</t>
        </is>
      </c>
      <c r="D26" t="inlineStr">
        <is>
          <t>Medium</t>
        </is>
      </c>
      <c r="E26" t="inlineStr">
        <is>
          <t>PASS</t>
        </is>
      </c>
      <c r="F26" t="inlineStr">
        <is>
          <t>OK</t>
        </is>
      </c>
      <c r="G26" t="inlineStr">
        <is>
          <t>giao trinh Luat lao dong CB 2005 (1)_sec_764_chunk_764</t>
        </is>
      </c>
      <c r="H26" s="3" t="n">
        <v>0.757</v>
      </c>
      <c r="I26" s="3" t="n">
        <v>1</v>
      </c>
      <c r="J26" s="3" t="n">
        <v>1</v>
      </c>
      <c r="K26" t="n">
        <v>1</v>
      </c>
      <c r="L26" t="b">
        <v>1</v>
      </c>
    </row>
    <row r="27">
      <c r="A27" t="inlineStr">
        <is>
          <t>LAW_A_014</t>
        </is>
      </c>
      <c r="B27" t="inlineStr">
        <is>
          <t>A</t>
        </is>
      </c>
      <c r="C27" t="inlineStr">
        <is>
          <t>Concept</t>
        </is>
      </c>
      <c r="D27" t="inlineStr">
        <is>
          <t>Medium</t>
        </is>
      </c>
      <c r="E27" t="inlineStr">
        <is>
          <t>PASS</t>
        </is>
      </c>
      <c r="F27" t="inlineStr">
        <is>
          <t>OK</t>
        </is>
      </c>
      <c r="G27" t="inlineStr">
        <is>
          <t>giao trinh Luat lao dong CB 2005 (1)_sec_756_chunk_756</t>
        </is>
      </c>
      <c r="H27" s="3" t="n">
        <v>1.08</v>
      </c>
      <c r="I27" s="3" t="n">
        <v>1</v>
      </c>
      <c r="J27" s="3" t="n">
        <v>1</v>
      </c>
      <c r="K27" t="n">
        <v>1</v>
      </c>
      <c r="L27" t="b">
        <v>1</v>
      </c>
    </row>
    <row r="28">
      <c r="A28" t="inlineStr">
        <is>
          <t>LAW_A_015</t>
        </is>
      </c>
      <c r="B28" t="inlineStr">
        <is>
          <t>A</t>
        </is>
      </c>
      <c r="C28" t="inlineStr">
        <is>
          <t>Scenario-based</t>
        </is>
      </c>
      <c r="D28" t="inlineStr">
        <is>
          <t>Hard</t>
        </is>
      </c>
      <c r="E28" t="inlineStr">
        <is>
          <t>PASS</t>
        </is>
      </c>
      <c r="F28" t="inlineStr">
        <is>
          <t>OK</t>
        </is>
      </c>
      <c r="G28" t="inlineStr">
        <is>
          <t>giao trinh Luat lao dong CB 2005 (1)_sec_756_chunk_756
giao trinh Luat lao dong CB 2005 (1)_sec_757_chunk_757</t>
        </is>
      </c>
      <c r="H28" s="3" t="n">
        <v>1.062</v>
      </c>
      <c r="I28" s="3" t="n">
        <v>1</v>
      </c>
      <c r="J28" s="3" t="n">
        <v>1</v>
      </c>
      <c r="K28" t="n">
        <v>1</v>
      </c>
      <c r="L28" t="b">
        <v>1</v>
      </c>
    </row>
    <row r="29">
      <c r="A29" t="inlineStr">
        <is>
          <t>LAW_A_016</t>
        </is>
      </c>
      <c r="B29" t="inlineStr">
        <is>
          <t>A</t>
        </is>
      </c>
      <c r="C29" t="inlineStr">
        <is>
          <t>Scenario-based</t>
        </is>
      </c>
      <c r="D29" t="inlineStr">
        <is>
          <t>Hard</t>
        </is>
      </c>
      <c r="E29" t="inlineStr">
        <is>
          <t>PASS</t>
        </is>
      </c>
      <c r="F29" t="inlineStr">
        <is>
          <t>OK</t>
        </is>
      </c>
      <c r="G29" t="inlineStr">
        <is>
          <t>giao trinh Luat lao dong CB 2005 (1)_sec_755_chunk_755</t>
        </is>
      </c>
      <c r="H29" s="3" t="n">
        <v>1.023</v>
      </c>
      <c r="I29" s="3" t="n">
        <v>0</v>
      </c>
      <c r="J29" s="3" t="n">
        <v>0</v>
      </c>
      <c r="K29" t="n">
        <v>0</v>
      </c>
      <c r="L29" t="b">
        <v>0</v>
      </c>
    </row>
    <row r="30">
      <c r="A30" t="inlineStr">
        <is>
          <t>LAW_A_017</t>
        </is>
      </c>
      <c r="B30" t="inlineStr">
        <is>
          <t>A</t>
        </is>
      </c>
      <c r="C30" t="inlineStr">
        <is>
          <t>Multi-hop</t>
        </is>
      </c>
      <c r="D30" t="inlineStr">
        <is>
          <t>Hard</t>
        </is>
      </c>
      <c r="E30" t="inlineStr">
        <is>
          <t>PARTIAL</t>
        </is>
      </c>
      <c r="F30" t="inlineStr">
        <is>
          <t>WRONG_SOURCE_ANSWER</t>
        </is>
      </c>
      <c r="G30" t="inlineStr">
        <is>
          <t>giao trinh Luat lao dong CB 2005 (1)_sec_752_chunk_752</t>
        </is>
      </c>
      <c r="H30" s="3" t="n">
        <v>1.049</v>
      </c>
      <c r="I30" s="3" t="n">
        <v>0</v>
      </c>
      <c r="J30" s="3" t="n">
        <v>0</v>
      </c>
      <c r="K30" t="n">
        <v>0</v>
      </c>
      <c r="L30" t="b">
        <v>0</v>
      </c>
    </row>
    <row r="31">
      <c r="A31" t="inlineStr">
        <is>
          <t>LAW_A_018</t>
        </is>
      </c>
      <c r="B31" t="inlineStr">
        <is>
          <t>A</t>
        </is>
      </c>
      <c r="C31" t="inlineStr">
        <is>
          <t>Multi-hop</t>
        </is>
      </c>
      <c r="D31" t="inlineStr">
        <is>
          <t>Hard</t>
        </is>
      </c>
      <c r="E31" t="inlineStr">
        <is>
          <t>PASS</t>
        </is>
      </c>
      <c r="F31" t="inlineStr">
        <is>
          <t>OK</t>
        </is>
      </c>
      <c r="G31" t="inlineStr">
        <is>
          <t>giao trinh Luat lao dong CB 2005 (1)_sec_760_chunk_760</t>
        </is>
      </c>
      <c r="H31" s="3" t="n">
        <v>1.07</v>
      </c>
      <c r="I31" s="3" t="n">
        <v>1</v>
      </c>
      <c r="J31" s="3" t="n">
        <v>1</v>
      </c>
      <c r="K31" t="n">
        <v>1</v>
      </c>
      <c r="L31" t="b">
        <v>1</v>
      </c>
    </row>
    <row r="32">
      <c r="A32" t="inlineStr">
        <is>
          <t>LAW_A_019</t>
        </is>
      </c>
      <c r="B32" t="inlineStr">
        <is>
          <t>A</t>
        </is>
      </c>
      <c r="C32" t="inlineStr">
        <is>
          <t>Source-awareness</t>
        </is>
      </c>
      <c r="D32" t="inlineStr">
        <is>
          <t>Hard</t>
        </is>
      </c>
      <c r="E32" t="inlineStr">
        <is>
          <t>FAIL</t>
        </is>
      </c>
      <c r="F32" t="inlineStr">
        <is>
          <t>NO_GOLD</t>
        </is>
      </c>
      <c r="G32" t="inlineStr"/>
      <c r="H32" s="3" t="n">
        <v>0.391</v>
      </c>
    </row>
    <row r="33">
      <c r="A33" t="inlineStr">
        <is>
          <t>LAW_A_020</t>
        </is>
      </c>
      <c r="B33" t="inlineStr">
        <is>
          <t>A</t>
        </is>
      </c>
      <c r="C33" t="inlineStr">
        <is>
          <t>Synthesis</t>
        </is>
      </c>
      <c r="D33" t="inlineStr">
        <is>
          <t>Hard</t>
        </is>
      </c>
      <c r="E33" t="inlineStr">
        <is>
          <t>PARTIAL</t>
        </is>
      </c>
      <c r="F33" t="inlineStr">
        <is>
          <t>LLM_ANSWER</t>
        </is>
      </c>
      <c r="G33" t="inlineStr">
        <is>
          <t>giao trinh Luat lao dong CB 2005 (1)_sec_1103_chunk_1103
giao trinh Luat lao dong CB 2005 (1)_sec_754_chunk_754
giao trinh Luat lao dong CB 2005 (1)_sec_783_chunk_783</t>
        </is>
      </c>
      <c r="H33" s="3" t="n">
        <v>0.75</v>
      </c>
      <c r="I33" s="3" t="n">
        <v>0.3333333333333333</v>
      </c>
      <c r="J33" s="3" t="n">
        <v>0.3333333333333333</v>
      </c>
      <c r="K33" t="n">
        <v>0.3333333333333333</v>
      </c>
      <c r="L33" t="b">
        <v>1</v>
      </c>
    </row>
    <row r="34">
      <c r="A34" t="inlineStr">
        <is>
          <t>LAW_B_001</t>
        </is>
      </c>
      <c r="B34" t="inlineStr">
        <is>
          <t>B</t>
        </is>
      </c>
      <c r="C34" t="inlineStr">
        <is>
          <t>Direct Fact</t>
        </is>
      </c>
      <c r="D34" t="inlineStr">
        <is>
          <t>Easy</t>
        </is>
      </c>
      <c r="E34" t="inlineStr">
        <is>
          <t>PASS</t>
        </is>
      </c>
      <c r="F34" t="inlineStr">
        <is>
          <t>OK</t>
        </is>
      </c>
      <c r="G34" t="inlineStr">
        <is>
          <t>so-tay-kien-thuc-phap-luat-lao-dong-cdi_sec_10_chunk_10</t>
        </is>
      </c>
      <c r="H34" s="3" t="n">
        <v>1.1</v>
      </c>
      <c r="I34" s="3" t="n">
        <v>1</v>
      </c>
      <c r="J34" s="3" t="n">
        <v>1</v>
      </c>
      <c r="K34" t="n">
        <v>1</v>
      </c>
      <c r="L34" t="b">
        <v>1</v>
      </c>
    </row>
    <row r="35">
      <c r="A35" t="inlineStr">
        <is>
          <t>LAW_B_002</t>
        </is>
      </c>
      <c r="B35" t="inlineStr">
        <is>
          <t>B</t>
        </is>
      </c>
      <c r="C35" t="inlineStr">
        <is>
          <t>Concept</t>
        </is>
      </c>
      <c r="D35" t="inlineStr">
        <is>
          <t>Easy</t>
        </is>
      </c>
      <c r="E35" t="inlineStr">
        <is>
          <t>PARTIAL</t>
        </is>
      </c>
      <c r="F35" t="inlineStr">
        <is>
          <t>WRONG_SOURCE_ANSWER</t>
        </is>
      </c>
      <c r="G35" t="inlineStr">
        <is>
          <t>so-tay-kien-thuc-phap-luat-lao-dong-cdi_sec_12_chunk_12
so-tay-kien-thuc-phap-luat-lao-dong-cdi_sec_68_chunk_68</t>
        </is>
      </c>
      <c r="H35" s="3" t="n">
        <v>0.753</v>
      </c>
      <c r="I35" s="3" t="n">
        <v>0</v>
      </c>
      <c r="J35" s="3" t="n">
        <v>0</v>
      </c>
      <c r="K35" t="n">
        <v>0</v>
      </c>
      <c r="L35" t="b">
        <v>1</v>
      </c>
    </row>
    <row r="36">
      <c r="A36" t="inlineStr">
        <is>
          <t>LAW_B_003</t>
        </is>
      </c>
      <c r="B36" t="inlineStr">
        <is>
          <t>B</t>
        </is>
      </c>
      <c r="C36" t="inlineStr">
        <is>
          <t>Direct Fact</t>
        </is>
      </c>
      <c r="D36" t="inlineStr">
        <is>
          <t>Easy</t>
        </is>
      </c>
      <c r="E36" t="inlineStr">
        <is>
          <t>PASS</t>
        </is>
      </c>
      <c r="F36" t="inlineStr">
        <is>
          <t>OK</t>
        </is>
      </c>
      <c r="G36" t="inlineStr">
        <is>
          <t>so-tay-kien-thuc-phap-luat-lao-dong-cdi_sec_05_chunk_05
so-tay-kien-thuc-phap-luat-lao-dong-cdi_sec_59_chunk_59
so-tay-kien-thuc-phap-luat-lao-dong-cdi_sec_17_chunk_17</t>
        </is>
      </c>
      <c r="H36" s="3" t="n">
        <v>0.85</v>
      </c>
      <c r="I36" s="3" t="n">
        <v>0.3333333333333333</v>
      </c>
      <c r="J36" s="3" t="n">
        <v>0.3333333333333333</v>
      </c>
      <c r="K36" t="n">
        <v>0.25</v>
      </c>
      <c r="L36" t="b">
        <v>1</v>
      </c>
    </row>
    <row r="37">
      <c r="A37" t="inlineStr">
        <is>
          <t>LAW_B_004</t>
        </is>
      </c>
      <c r="B37" t="inlineStr">
        <is>
          <t>B</t>
        </is>
      </c>
      <c r="C37" t="inlineStr">
        <is>
          <t>Direct Fact</t>
        </is>
      </c>
      <c r="D37" t="inlineStr">
        <is>
          <t>Easy</t>
        </is>
      </c>
      <c r="E37" t="inlineStr">
        <is>
          <t>FAIL</t>
        </is>
      </c>
      <c r="F37" t="inlineStr">
        <is>
          <t>RETRIEVAL_MISS</t>
        </is>
      </c>
      <c r="G37" t="inlineStr">
        <is>
          <t>so-tay-kien-thuc-phap-luat-lao-dong-cdi_sec_05_chunk_05
so-tay-kien-thuc-phap-luat-lao-dong-cdi_sec_80_chunk_80
so-tay-kien-thuc-phap-luat-lao-dong-cdi_sec_19_chunk_19</t>
        </is>
      </c>
      <c r="H37" s="3" t="n">
        <v>0.9330000000000001</v>
      </c>
      <c r="I37" s="3" t="n">
        <v>0</v>
      </c>
      <c r="J37" s="3" t="n">
        <v>0</v>
      </c>
      <c r="K37" t="n">
        <v>0</v>
      </c>
      <c r="L37" t="b">
        <v>0</v>
      </c>
    </row>
    <row r="38">
      <c r="A38" t="inlineStr">
        <is>
          <t>LAW_B_005</t>
        </is>
      </c>
      <c r="B38" t="inlineStr">
        <is>
          <t>B</t>
        </is>
      </c>
      <c r="C38" t="inlineStr">
        <is>
          <t>Direct Fact</t>
        </is>
      </c>
      <c r="D38" t="inlineStr">
        <is>
          <t>Easy</t>
        </is>
      </c>
      <c r="E38" t="inlineStr">
        <is>
          <t>PASS</t>
        </is>
      </c>
      <c r="F38" t="inlineStr">
        <is>
          <t>OK</t>
        </is>
      </c>
      <c r="G38" t="inlineStr">
        <is>
          <t>so-tay-kien-thuc-phap-luat-lao-dong-cdi_sec_27_chunk_27
so-tay-kien-thuc-phap-luat-lao-dong-cdi_sec_05_chunk_05</t>
        </is>
      </c>
      <c r="H38" s="3" t="n">
        <v>0.9</v>
      </c>
      <c r="I38" s="3" t="n">
        <v>0.5</v>
      </c>
      <c r="J38" s="3" t="n">
        <v>0.5</v>
      </c>
      <c r="K38" t="n">
        <v>1</v>
      </c>
      <c r="L38" t="b">
        <v>1</v>
      </c>
    </row>
    <row r="39">
      <c r="A39" t="inlineStr">
        <is>
          <t>LAW_B_006</t>
        </is>
      </c>
      <c r="B39" t="inlineStr">
        <is>
          <t>B</t>
        </is>
      </c>
      <c r="C39" t="inlineStr">
        <is>
          <t>Direct Fact</t>
        </is>
      </c>
      <c r="D39" t="inlineStr">
        <is>
          <t>Easy</t>
        </is>
      </c>
      <c r="E39" t="inlineStr">
        <is>
          <t>FAIL</t>
        </is>
      </c>
      <c r="F39" t="inlineStr">
        <is>
          <t>RETRIEVAL_MISS</t>
        </is>
      </c>
      <c r="G39" t="inlineStr">
        <is>
          <t>so-tay-kien-thuc-phap-luat-lao-dong-cdi_sec_05_chunk_05</t>
        </is>
      </c>
      <c r="H39" s="3" t="n">
        <v>0.822</v>
      </c>
      <c r="I39" s="3" t="n">
        <v>0</v>
      </c>
      <c r="J39" s="3" t="n">
        <v>0</v>
      </c>
      <c r="K39" t="n">
        <v>0</v>
      </c>
      <c r="L39" t="b">
        <v>0</v>
      </c>
    </row>
    <row r="40">
      <c r="A40" t="inlineStr">
        <is>
          <t>LAW_B_007</t>
        </is>
      </c>
      <c r="B40" t="inlineStr">
        <is>
          <t>B</t>
        </is>
      </c>
      <c r="C40" t="inlineStr">
        <is>
          <t>Direct Fact</t>
        </is>
      </c>
      <c r="D40" t="inlineStr">
        <is>
          <t>Easy</t>
        </is>
      </c>
      <c r="E40" t="inlineStr">
        <is>
          <t>FAIL</t>
        </is>
      </c>
      <c r="F40" t="inlineStr">
        <is>
          <t>RETRIEVAL_MISS</t>
        </is>
      </c>
      <c r="G40" t="inlineStr">
        <is>
          <t>so-tay-kien-thuc-phap-luat-lao-dong-cdi_sec_06_chunk_06</t>
        </is>
      </c>
      <c r="H40" s="3" t="n">
        <v>0.957</v>
      </c>
      <c r="I40" s="3" t="n">
        <v>0</v>
      </c>
      <c r="J40" s="3" t="n">
        <v>0</v>
      </c>
      <c r="K40" t="n">
        <v>0</v>
      </c>
      <c r="L40" t="b">
        <v>0</v>
      </c>
    </row>
    <row r="41">
      <c r="A41" t="inlineStr">
        <is>
          <t>LAW_B_008</t>
        </is>
      </c>
      <c r="B41" t="inlineStr">
        <is>
          <t>B</t>
        </is>
      </c>
      <c r="C41" t="inlineStr">
        <is>
          <t>Scenario-based</t>
        </is>
      </c>
      <c r="D41" t="inlineStr">
        <is>
          <t>Medium</t>
        </is>
      </c>
      <c r="E41" t="inlineStr">
        <is>
          <t>PARTIAL</t>
        </is>
      </c>
      <c r="F41" t="inlineStr">
        <is>
          <t>LLM_ANSWER</t>
        </is>
      </c>
      <c r="G41" t="inlineStr">
        <is>
          <t>so-tay-kien-thuc-phap-luat-lao-dong-cdi_sec_09_chunk_09</t>
        </is>
      </c>
      <c r="H41" s="3" t="n">
        <v>0.804</v>
      </c>
      <c r="I41" s="3" t="n">
        <v>1</v>
      </c>
      <c r="J41" s="3" t="n">
        <v>1</v>
      </c>
      <c r="K41" t="n">
        <v>0.5</v>
      </c>
      <c r="L41" t="b">
        <v>1</v>
      </c>
    </row>
    <row r="42">
      <c r="A42" t="inlineStr">
        <is>
          <t>LAW_B_009</t>
        </is>
      </c>
      <c r="B42" t="inlineStr">
        <is>
          <t>B</t>
        </is>
      </c>
      <c r="C42" t="inlineStr">
        <is>
          <t>Concept</t>
        </is>
      </c>
      <c r="D42" t="inlineStr">
        <is>
          <t>Medium</t>
        </is>
      </c>
      <c r="E42" t="inlineStr">
        <is>
          <t>PASS</t>
        </is>
      </c>
      <c r="F42" t="inlineStr">
        <is>
          <t>OK</t>
        </is>
      </c>
      <c r="G42" t="inlineStr">
        <is>
          <t>so-tay-kien-thuc-phap-luat-lao-dong-cdi_sec_12_chunk_12</t>
        </is>
      </c>
      <c r="H42" s="3" t="n">
        <v>0.906</v>
      </c>
      <c r="I42" s="3" t="n">
        <v>1</v>
      </c>
      <c r="J42" s="3" t="n">
        <v>1</v>
      </c>
      <c r="K42" t="n">
        <v>1</v>
      </c>
      <c r="L42" t="b">
        <v>1</v>
      </c>
    </row>
    <row r="43">
      <c r="A43" t="inlineStr">
        <is>
          <t>LAW_B_010</t>
        </is>
      </c>
      <c r="B43" t="inlineStr">
        <is>
          <t>B</t>
        </is>
      </c>
      <c r="C43" t="inlineStr">
        <is>
          <t>Navigation</t>
        </is>
      </c>
      <c r="D43" t="inlineStr">
        <is>
          <t>Medium</t>
        </is>
      </c>
      <c r="E43" t="inlineStr">
        <is>
          <t>PARTIAL</t>
        </is>
      </c>
      <c r="F43" t="inlineStr">
        <is>
          <t>WRONG_SOURCE_ANSWER</t>
        </is>
      </c>
      <c r="G43" t="inlineStr">
        <is>
          <t>so-tay-kien-thuc-phap-luat-lao-dong-cdi_sec_07_chunk_07</t>
        </is>
      </c>
      <c r="H43" s="3" t="n">
        <v>1.038</v>
      </c>
      <c r="I43" s="3" t="n">
        <v>0</v>
      </c>
      <c r="J43" s="3" t="n">
        <v>0</v>
      </c>
      <c r="K43" t="n">
        <v>0</v>
      </c>
      <c r="L43" t="b">
        <v>0</v>
      </c>
    </row>
    <row r="44">
      <c r="A44" t="inlineStr">
        <is>
          <t>LAW_B_011</t>
        </is>
      </c>
      <c r="B44" t="inlineStr">
        <is>
          <t>B</t>
        </is>
      </c>
      <c r="C44" t="inlineStr">
        <is>
          <t>Navigation</t>
        </is>
      </c>
      <c r="D44" t="inlineStr">
        <is>
          <t>Medium</t>
        </is>
      </c>
      <c r="E44" t="inlineStr">
        <is>
          <t>PARTIAL</t>
        </is>
      </c>
      <c r="F44" t="inlineStr">
        <is>
          <t>WRONG_SOURCE_ANSWER</t>
        </is>
      </c>
      <c r="G44" t="inlineStr">
        <is>
          <t>so-tay-kien-thuc-phap-luat-lao-dong-cdi_sec_07_chunk_07</t>
        </is>
      </c>
      <c r="H44" s="3" t="n">
        <v>0.975</v>
      </c>
      <c r="I44" s="3" t="n">
        <v>0</v>
      </c>
      <c r="J44" s="3" t="n">
        <v>0</v>
      </c>
      <c r="K44" t="n">
        <v>0</v>
      </c>
      <c r="L44" t="b">
        <v>0</v>
      </c>
    </row>
    <row r="45">
      <c r="A45" t="inlineStr">
        <is>
          <t>LAW_B_012</t>
        </is>
      </c>
      <c r="B45" t="inlineStr">
        <is>
          <t>B</t>
        </is>
      </c>
      <c r="C45" t="inlineStr">
        <is>
          <t>Navigation</t>
        </is>
      </c>
      <c r="D45" t="inlineStr">
        <is>
          <t>Medium</t>
        </is>
      </c>
      <c r="E45" t="inlineStr">
        <is>
          <t>PASS</t>
        </is>
      </c>
      <c r="F45" t="inlineStr">
        <is>
          <t>OK</t>
        </is>
      </c>
      <c r="G45" t="inlineStr">
        <is>
          <t>so-tay-kien-thuc-phap-luat-lao-dong-cdi_sec_07_chunk_07</t>
        </is>
      </c>
      <c r="H45" s="3" t="n">
        <v>1.038</v>
      </c>
      <c r="I45" s="3" t="n">
        <v>0</v>
      </c>
      <c r="J45" s="3" t="n">
        <v>0</v>
      </c>
      <c r="K45" t="n">
        <v>0</v>
      </c>
      <c r="L45" t="b">
        <v>0</v>
      </c>
    </row>
    <row r="46">
      <c r="A46" t="inlineStr">
        <is>
          <t>LAW_B_013</t>
        </is>
      </c>
      <c r="B46" t="inlineStr">
        <is>
          <t>B</t>
        </is>
      </c>
      <c r="C46" t="inlineStr">
        <is>
          <t>Navigation</t>
        </is>
      </c>
      <c r="D46" t="inlineStr">
        <is>
          <t>Medium</t>
        </is>
      </c>
      <c r="E46" t="inlineStr">
        <is>
          <t>PARTIAL</t>
        </is>
      </c>
      <c r="F46" t="inlineStr">
        <is>
          <t>WRONG_SOURCE_ANSWER</t>
        </is>
      </c>
      <c r="G46" t="inlineStr">
        <is>
          <t>so-tay-kien-thuc-phap-luat-lao-dong-cdi_sec_07_chunk_07
so-tay-kien-thuc-phap-luat-lao-dong-cdi_sec_54_chunk_54</t>
        </is>
      </c>
      <c r="H46" s="3" t="n">
        <v>0.75</v>
      </c>
      <c r="I46" s="3" t="n">
        <v>0</v>
      </c>
      <c r="J46" s="3" t="n">
        <v>0</v>
      </c>
      <c r="K46" t="n">
        <v>0</v>
      </c>
      <c r="L46" t="b">
        <v>1</v>
      </c>
    </row>
    <row r="47">
      <c r="A47" t="inlineStr">
        <is>
          <t>LAW_B_014</t>
        </is>
      </c>
      <c r="B47" t="inlineStr">
        <is>
          <t>B</t>
        </is>
      </c>
      <c r="C47" t="inlineStr">
        <is>
          <t>Navigation</t>
        </is>
      </c>
      <c r="D47" t="inlineStr">
        <is>
          <t>Medium</t>
        </is>
      </c>
      <c r="E47" t="inlineStr">
        <is>
          <t>FAIL</t>
        </is>
      </c>
      <c r="F47" t="inlineStr">
        <is>
          <t>RETRIEVAL_MISS</t>
        </is>
      </c>
      <c r="G47" t="inlineStr">
        <is>
          <t>so-tay-kien-thuc-phap-luat-lao-dong-cdi_sec_07_chunk_07</t>
        </is>
      </c>
      <c r="H47" s="3" t="n">
        <v>0.953</v>
      </c>
      <c r="I47" s="3" t="n">
        <v>0</v>
      </c>
      <c r="J47" s="3" t="n">
        <v>0</v>
      </c>
      <c r="K47" t="n">
        <v>0</v>
      </c>
      <c r="L47" t="b">
        <v>0</v>
      </c>
    </row>
    <row r="48">
      <c r="A48" t="inlineStr">
        <is>
          <t>LAW_B_015</t>
        </is>
      </c>
      <c r="B48" t="inlineStr">
        <is>
          <t>B</t>
        </is>
      </c>
      <c r="C48" t="inlineStr">
        <is>
          <t>Multi-hop</t>
        </is>
      </c>
      <c r="D48" t="inlineStr">
        <is>
          <t>Hard</t>
        </is>
      </c>
      <c r="E48" t="inlineStr">
        <is>
          <t>FAIL</t>
        </is>
      </c>
      <c r="F48" t="inlineStr">
        <is>
          <t>RETRIEVAL_MISS</t>
        </is>
      </c>
      <c r="G48" t="inlineStr">
        <is>
          <t>so-tay-kien-thuc-phap-luat-lao-dong-cdi_sec_05_chunk_05</t>
        </is>
      </c>
      <c r="H48" s="3" t="n">
        <v>1</v>
      </c>
      <c r="I48" s="3" t="n">
        <v>0</v>
      </c>
      <c r="J48" s="3" t="n">
        <v>0</v>
      </c>
      <c r="K48" t="n">
        <v>0</v>
      </c>
      <c r="L48" t="b">
        <v>0</v>
      </c>
    </row>
    <row r="49">
      <c r="A49" t="inlineStr">
        <is>
          <t>LAW_B_016</t>
        </is>
      </c>
      <c r="B49" t="inlineStr">
        <is>
          <t>B</t>
        </is>
      </c>
      <c r="C49" t="inlineStr">
        <is>
          <t>Multi-hop</t>
        </is>
      </c>
      <c r="D49" t="inlineStr">
        <is>
          <t>Hard</t>
        </is>
      </c>
      <c r="E49" t="inlineStr">
        <is>
          <t>FAIL</t>
        </is>
      </c>
      <c r="F49" t="inlineStr">
        <is>
          <t>THRESHOLD_CUT</t>
        </is>
      </c>
      <c r="G49" t="inlineStr">
        <is>
          <t>so-tay-kien-thuc-phap-luat-lao-dong-cdi_sec_03_chunk_03
so-tay-kien-thuc-phap-luat-lao-dong-cdi_sec_07_chunk_07</t>
        </is>
      </c>
      <c r="H49" s="3" t="n">
        <v>0.786</v>
      </c>
      <c r="I49" s="3" t="n">
        <v>0</v>
      </c>
      <c r="J49" s="3" t="n">
        <v>0.5</v>
      </c>
      <c r="K49" t="n">
        <v>1</v>
      </c>
      <c r="L49" t="b">
        <v>1</v>
      </c>
    </row>
    <row r="50">
      <c r="A50" t="inlineStr">
        <is>
          <t>LAW_B_017</t>
        </is>
      </c>
      <c r="B50" t="inlineStr">
        <is>
          <t>B</t>
        </is>
      </c>
      <c r="C50" t="inlineStr">
        <is>
          <t>False Premise</t>
        </is>
      </c>
      <c r="D50" t="inlineStr">
        <is>
          <t>Hard</t>
        </is>
      </c>
      <c r="E50" t="inlineStr">
        <is>
          <t>PASS</t>
        </is>
      </c>
      <c r="F50" t="inlineStr">
        <is>
          <t>OK</t>
        </is>
      </c>
      <c r="G50" t="inlineStr">
        <is>
          <t>so-tay-kien-thuc-phap-luat-lao-dong-cdi_sec_10_chunk_10</t>
        </is>
      </c>
      <c r="H50" s="3" t="n">
        <v>0.9</v>
      </c>
      <c r="I50" s="3" t="n">
        <v>0</v>
      </c>
      <c r="J50" s="3" t="n">
        <v>1</v>
      </c>
      <c r="K50" t="n">
        <v>0.2</v>
      </c>
      <c r="L50" t="b">
        <v>1</v>
      </c>
    </row>
    <row r="51">
      <c r="A51" t="inlineStr">
        <is>
          <t>LAW_B_018</t>
        </is>
      </c>
      <c r="B51" t="inlineStr">
        <is>
          <t>B</t>
        </is>
      </c>
      <c r="C51" t="inlineStr">
        <is>
          <t>Source-awareness</t>
        </is>
      </c>
      <c r="D51" t="inlineStr">
        <is>
          <t>Hard</t>
        </is>
      </c>
      <c r="E51" t="inlineStr">
        <is>
          <t>FAIL</t>
        </is>
      </c>
      <c r="F51" t="inlineStr">
        <is>
          <t>NO_GOLD</t>
        </is>
      </c>
      <c r="G51" t="inlineStr"/>
      <c r="H51" s="3" t="n">
        <v>0.439</v>
      </c>
    </row>
    <row r="52">
      <c r="A52" t="inlineStr">
        <is>
          <t>LAW_B_019</t>
        </is>
      </c>
      <c r="B52" t="inlineStr">
        <is>
          <t>B</t>
        </is>
      </c>
      <c r="C52" t="inlineStr">
        <is>
          <t>Synthesis</t>
        </is>
      </c>
      <c r="D52" t="inlineStr">
        <is>
          <t>Hard</t>
        </is>
      </c>
      <c r="E52" t="inlineStr">
        <is>
          <t>FAIL</t>
        </is>
      </c>
      <c r="F52" t="inlineStr">
        <is>
          <t>THRESHOLD_CUT</t>
        </is>
      </c>
      <c r="G52" t="inlineStr">
        <is>
          <t>so-tay-kien-thuc-phap-luat-lao-dong-cdi_sec_03_chunk_03</t>
        </is>
      </c>
      <c r="H52" s="3" t="n">
        <v>0.9</v>
      </c>
      <c r="I52" s="3" t="n">
        <v>0</v>
      </c>
      <c r="J52" s="3" t="n">
        <v>1</v>
      </c>
      <c r="K52" t="n">
        <v>1</v>
      </c>
      <c r="L52" t="b">
        <v>1</v>
      </c>
    </row>
    <row r="53">
      <c r="A53" t="inlineStr">
        <is>
          <t>LAW_B_020</t>
        </is>
      </c>
      <c r="B53" t="inlineStr">
        <is>
          <t>B</t>
        </is>
      </c>
      <c r="C53" t="inlineStr">
        <is>
          <t>Synthesis</t>
        </is>
      </c>
      <c r="D53" t="inlineStr">
        <is>
          <t>Hard</t>
        </is>
      </c>
      <c r="E53" t="inlineStr">
        <is>
          <t>FAIL</t>
        </is>
      </c>
      <c r="F53" t="inlineStr">
        <is>
          <t>THRESHOLD_CUT</t>
        </is>
      </c>
      <c r="G53" t="inlineStr">
        <is>
          <t>so-tay-kien-thuc-phap-luat-lao-dong-cdi_sec_07_chunk_07</t>
        </is>
      </c>
      <c r="H53" s="3" t="n">
        <v>0.85</v>
      </c>
      <c r="I53" s="3" t="n">
        <v>0</v>
      </c>
      <c r="J53" s="3" t="n">
        <v>1</v>
      </c>
      <c r="K53" t="n">
        <v>0.5</v>
      </c>
      <c r="L53" t="b">
        <v>1</v>
      </c>
    </row>
    <row r="54">
      <c r="A54" t="inlineStr">
        <is>
          <t>LAW_C_001</t>
        </is>
      </c>
      <c r="B54" t="inlineStr">
        <is>
          <t>C</t>
        </is>
      </c>
      <c r="C54" t="inlineStr">
        <is>
          <t>Direct Fact</t>
        </is>
      </c>
      <c r="D54" t="inlineStr">
        <is>
          <t>Easy</t>
        </is>
      </c>
      <c r="E54" t="inlineStr">
        <is>
          <t>PARTIAL</t>
        </is>
      </c>
      <c r="F54" t="inlineStr">
        <is>
          <t>LLM_ANSWER</t>
        </is>
      </c>
      <c r="G54" t="inlineStr">
        <is>
          <t>luu-ban-nhap-tu-dong-3-4_sec_1369_chunk_1369</t>
        </is>
      </c>
      <c r="H54" s="3" t="n">
        <v>0.85</v>
      </c>
      <c r="I54" s="3" t="n">
        <v>1</v>
      </c>
      <c r="J54" s="3" t="n">
        <v>1</v>
      </c>
      <c r="K54" t="n">
        <v>1</v>
      </c>
      <c r="L54" t="b">
        <v>1</v>
      </c>
    </row>
    <row r="55">
      <c r="A55" t="inlineStr">
        <is>
          <t>LAW_C_002</t>
        </is>
      </c>
      <c r="B55" t="inlineStr">
        <is>
          <t>C</t>
        </is>
      </c>
      <c r="C55" t="inlineStr">
        <is>
          <t>Direct Fact</t>
        </is>
      </c>
      <c r="D55" t="inlineStr">
        <is>
          <t>Easy</t>
        </is>
      </c>
      <c r="E55" t="inlineStr">
        <is>
          <t>FAIL</t>
        </is>
      </c>
      <c r="F55" t="inlineStr">
        <is>
          <t>THRESHOLD_CUT</t>
        </is>
      </c>
      <c r="G55" t="inlineStr">
        <is>
          <t>luu-ban-nhap-tu-dong-3-4_sec_1372_chunk_1372
luu-ban-nhap-tu-dong-3-4_sec_1371_chunk_1371
luu-ban-nhap-tu-dong-3-4_sec_1370_chunk_1370</t>
        </is>
      </c>
      <c r="H55" s="3" t="n">
        <v>1.1</v>
      </c>
      <c r="I55" s="3" t="n">
        <v>0</v>
      </c>
      <c r="J55" s="3" t="n">
        <v>1</v>
      </c>
      <c r="K55" t="n">
        <v>1</v>
      </c>
      <c r="L55" t="b">
        <v>1</v>
      </c>
    </row>
    <row r="56">
      <c r="A56" t="inlineStr">
        <is>
          <t>LAW_C_003</t>
        </is>
      </c>
      <c r="B56" t="inlineStr">
        <is>
          <t>C</t>
        </is>
      </c>
      <c r="C56" t="inlineStr">
        <is>
          <t>Direct Fact</t>
        </is>
      </c>
      <c r="D56" t="inlineStr">
        <is>
          <t>Easy</t>
        </is>
      </c>
      <c r="E56" t="inlineStr">
        <is>
          <t>FAIL</t>
        </is>
      </c>
      <c r="F56" t="inlineStr">
        <is>
          <t>RERANK_DROP</t>
        </is>
      </c>
      <c r="G56" t="inlineStr">
        <is>
          <t>luu-ban-nhap-tu-dong-3-4_sec_1370_chunk_1370</t>
        </is>
      </c>
      <c r="H56" s="3" t="n">
        <v>1.033</v>
      </c>
      <c r="I56" s="3" t="n">
        <v>0</v>
      </c>
      <c r="J56" s="3" t="n">
        <v>0</v>
      </c>
      <c r="K56" t="n">
        <v>0</v>
      </c>
      <c r="L56" t="b">
        <v>1</v>
      </c>
    </row>
    <row r="57">
      <c r="A57" t="inlineStr">
        <is>
          <t>LAW_C_004</t>
        </is>
      </c>
      <c r="B57" t="inlineStr">
        <is>
          <t>C</t>
        </is>
      </c>
      <c r="C57" t="inlineStr">
        <is>
          <t>Direct Fact</t>
        </is>
      </c>
      <c r="D57" t="inlineStr">
        <is>
          <t>Easy</t>
        </is>
      </c>
      <c r="E57" t="inlineStr">
        <is>
          <t>FAIL</t>
        </is>
      </c>
      <c r="F57" t="inlineStr">
        <is>
          <t>THRESHOLD_CUT</t>
        </is>
      </c>
      <c r="G57" t="inlineStr">
        <is>
          <t>luu-ban-nhap-tu-dong-3-4_sec_1370_chunk_1370</t>
        </is>
      </c>
      <c r="H57" s="3" t="n">
        <v>1.009</v>
      </c>
      <c r="I57" s="3" t="n">
        <v>0</v>
      </c>
      <c r="J57" s="3" t="n">
        <v>1</v>
      </c>
      <c r="K57" t="n">
        <v>0.5</v>
      </c>
      <c r="L57" t="b">
        <v>1</v>
      </c>
    </row>
    <row r="58">
      <c r="A58" t="inlineStr">
        <is>
          <t>LAW_C_005</t>
        </is>
      </c>
      <c r="B58" t="inlineStr">
        <is>
          <t>C</t>
        </is>
      </c>
      <c r="C58" t="inlineStr">
        <is>
          <t>Direct Fact</t>
        </is>
      </c>
      <c r="D58" t="inlineStr">
        <is>
          <t>Easy</t>
        </is>
      </c>
      <c r="E58" t="inlineStr">
        <is>
          <t>FAIL</t>
        </is>
      </c>
      <c r="F58" t="inlineStr">
        <is>
          <t>THRESHOLD_CUT</t>
        </is>
      </c>
      <c r="G58" t="inlineStr">
        <is>
          <t>luu-ban-nhap-tu-dong-3-4_sec_1370_chunk_1370</t>
        </is>
      </c>
      <c r="H58" s="3" t="n">
        <v>1.009</v>
      </c>
      <c r="I58" s="3" t="n">
        <v>0</v>
      </c>
      <c r="J58" s="3" t="n">
        <v>1</v>
      </c>
      <c r="K58" t="n">
        <v>0.25</v>
      </c>
      <c r="L58" t="b">
        <v>1</v>
      </c>
    </row>
    <row r="59">
      <c r="A59" t="inlineStr">
        <is>
          <t>LAW_C_006</t>
        </is>
      </c>
      <c r="B59" t="inlineStr">
        <is>
          <t>C</t>
        </is>
      </c>
      <c r="C59" t="inlineStr">
        <is>
          <t>Direct Fact</t>
        </is>
      </c>
      <c r="D59" t="inlineStr">
        <is>
          <t>Easy</t>
        </is>
      </c>
      <c r="E59" t="inlineStr">
        <is>
          <t>PASS</t>
        </is>
      </c>
      <c r="F59" t="inlineStr">
        <is>
          <t>OK</t>
        </is>
      </c>
      <c r="G59" t="inlineStr">
        <is>
          <t>luu-ban-nhap-tu-dong-3-4_sec_1377_chunk_1377</t>
        </is>
      </c>
      <c r="H59" s="3" t="n">
        <v>1.1</v>
      </c>
      <c r="I59" s="3" t="n">
        <v>1</v>
      </c>
      <c r="J59" s="3" t="n">
        <v>1</v>
      </c>
      <c r="K59" t="n">
        <v>0.5</v>
      </c>
      <c r="L59" t="b">
        <v>1</v>
      </c>
    </row>
    <row r="60">
      <c r="A60" t="inlineStr">
        <is>
          <t>LAW_C_007</t>
        </is>
      </c>
      <c r="B60" t="inlineStr">
        <is>
          <t>C</t>
        </is>
      </c>
      <c r="C60" t="inlineStr">
        <is>
          <t>Direct Fact</t>
        </is>
      </c>
      <c r="D60" t="inlineStr">
        <is>
          <t>Easy</t>
        </is>
      </c>
      <c r="E60" t="inlineStr">
        <is>
          <t>PASS</t>
        </is>
      </c>
      <c r="F60" t="inlineStr">
        <is>
          <t>OK</t>
        </is>
      </c>
      <c r="G60" t="inlineStr">
        <is>
          <t>luu-ban-nhap-tu-dong-3-4_sec_1379_chunk_1379
luu-ban-nhap-tu-dong-3-4_sec_1378_chunk_1378
luu-ban-nhap-tu-dong-3-4_sec_1377_chunk_1377</t>
        </is>
      </c>
      <c r="H60" s="3" t="n">
        <v>1.1</v>
      </c>
      <c r="I60" s="3" t="n">
        <v>0.3333333333333333</v>
      </c>
      <c r="J60" s="3" t="n">
        <v>1</v>
      </c>
      <c r="K60" t="n">
        <v>1</v>
      </c>
      <c r="L60" t="b">
        <v>1</v>
      </c>
    </row>
    <row r="61">
      <c r="A61" t="inlineStr">
        <is>
          <t>LAW_C_008</t>
        </is>
      </c>
      <c r="B61" t="inlineStr">
        <is>
          <t>C</t>
        </is>
      </c>
      <c r="C61" t="inlineStr">
        <is>
          <t>Definition</t>
        </is>
      </c>
      <c r="D61" t="inlineStr">
        <is>
          <t>Medium</t>
        </is>
      </c>
      <c r="E61" t="inlineStr">
        <is>
          <t>PARTIAL</t>
        </is>
      </c>
      <c r="F61" t="inlineStr">
        <is>
          <t>LLM_ANSWER</t>
        </is>
      </c>
      <c r="G61" t="inlineStr">
        <is>
          <t>luu-ban-nhap-tu-dong-3-4_sec_1388_chunk_1388</t>
        </is>
      </c>
      <c r="H61" s="3" t="n">
        <v>1.1</v>
      </c>
      <c r="I61" s="3" t="n">
        <v>1</v>
      </c>
      <c r="J61" s="3" t="n">
        <v>1</v>
      </c>
      <c r="K61" t="n">
        <v>0.5</v>
      </c>
      <c r="L61" t="b">
        <v>1</v>
      </c>
    </row>
    <row r="62">
      <c r="A62" t="inlineStr">
        <is>
          <t>LAW_C_009</t>
        </is>
      </c>
      <c r="B62" t="inlineStr">
        <is>
          <t>C</t>
        </is>
      </c>
      <c r="C62" t="inlineStr">
        <is>
          <t>Definition</t>
        </is>
      </c>
      <c r="D62" t="inlineStr">
        <is>
          <t>Medium</t>
        </is>
      </c>
      <c r="E62" t="inlineStr">
        <is>
          <t>PARTIAL</t>
        </is>
      </c>
      <c r="F62" t="inlineStr">
        <is>
          <t>WRONG_SOURCE_ANSWER</t>
        </is>
      </c>
      <c r="G62" t="inlineStr">
        <is>
          <t>luu-ban-nhap-tu-dong-3-4_sec_1388_chunk_1388</t>
        </is>
      </c>
      <c r="H62" s="3" t="n">
        <v>1.009</v>
      </c>
      <c r="I62" s="3" t="n">
        <v>0</v>
      </c>
      <c r="J62" s="3" t="n">
        <v>0</v>
      </c>
      <c r="K62" t="n">
        <v>0</v>
      </c>
      <c r="L62" t="b">
        <v>1</v>
      </c>
    </row>
    <row r="63">
      <c r="A63" t="inlineStr">
        <is>
          <t>LAW_C_010</t>
        </is>
      </c>
      <c r="B63" t="inlineStr">
        <is>
          <t>C</t>
        </is>
      </c>
      <c r="C63" t="inlineStr">
        <is>
          <t>Direct Fact</t>
        </is>
      </c>
      <c r="D63" t="inlineStr">
        <is>
          <t>Medium</t>
        </is>
      </c>
      <c r="E63" t="inlineStr">
        <is>
          <t>PARTIAL</t>
        </is>
      </c>
      <c r="F63" t="inlineStr">
        <is>
          <t>WRONG_SOURCE_ANSWER</t>
        </is>
      </c>
      <c r="G63" t="inlineStr">
        <is>
          <t>luu-ban-nhap-tu-dong-3-4_sec_1393_chunk_1393
luu-ban-nhap-tu-dong-3-4_sec_1392_chunk_1392</t>
        </is>
      </c>
      <c r="H63" s="3" t="n">
        <v>1.1</v>
      </c>
      <c r="I63" s="3" t="n">
        <v>0</v>
      </c>
      <c r="J63" s="3" t="n">
        <v>0</v>
      </c>
      <c r="K63" t="n">
        <v>0</v>
      </c>
      <c r="L63" t="b">
        <v>0</v>
      </c>
    </row>
    <row r="64">
      <c r="A64" t="inlineStr">
        <is>
          <t>LAW_C_011</t>
        </is>
      </c>
      <c r="B64" t="inlineStr">
        <is>
          <t>C</t>
        </is>
      </c>
      <c r="C64" t="inlineStr">
        <is>
          <t>Navigation</t>
        </is>
      </c>
      <c r="D64" t="inlineStr">
        <is>
          <t>Medium</t>
        </is>
      </c>
      <c r="E64" t="inlineStr">
        <is>
          <t>PARTIAL</t>
        </is>
      </c>
      <c r="F64" t="inlineStr">
        <is>
          <t>LLM_ANSWER</t>
        </is>
      </c>
      <c r="G64" t="inlineStr">
        <is>
          <t>luu-ban-nhap-tu-dong-3-4_sec_1371_chunk_1371</t>
        </is>
      </c>
      <c r="H64" s="3" t="n">
        <v>1.1</v>
      </c>
      <c r="I64" s="3" t="n">
        <v>1</v>
      </c>
      <c r="J64" s="3" t="n">
        <v>1</v>
      </c>
      <c r="K64" t="n">
        <v>1</v>
      </c>
      <c r="L64" t="b">
        <v>1</v>
      </c>
    </row>
    <row r="65">
      <c r="A65" t="inlineStr">
        <is>
          <t>LAW_C_012</t>
        </is>
      </c>
      <c r="B65" t="inlineStr">
        <is>
          <t>C</t>
        </is>
      </c>
      <c r="C65" t="inlineStr">
        <is>
          <t>Navigation</t>
        </is>
      </c>
      <c r="D65" t="inlineStr">
        <is>
          <t>Medium</t>
        </is>
      </c>
      <c r="E65" t="inlineStr">
        <is>
          <t>PASS</t>
        </is>
      </c>
      <c r="F65" t="inlineStr">
        <is>
          <t>OK</t>
        </is>
      </c>
      <c r="G65" t="inlineStr">
        <is>
          <t>luu-ban-nhap-tu-dong-3-4_sec_1372_chunk_1372</t>
        </is>
      </c>
      <c r="H65" s="3" t="n">
        <v>1.052</v>
      </c>
      <c r="I65" s="3" t="n">
        <v>1</v>
      </c>
      <c r="J65" s="3" t="n">
        <v>1</v>
      </c>
      <c r="K65" t="n">
        <v>1</v>
      </c>
      <c r="L65" t="b">
        <v>1</v>
      </c>
    </row>
    <row r="66">
      <c r="A66" t="inlineStr">
        <is>
          <t>LAW_C_013</t>
        </is>
      </c>
      <c r="B66" t="inlineStr">
        <is>
          <t>C</t>
        </is>
      </c>
      <c r="C66" t="inlineStr">
        <is>
          <t>Navigation</t>
        </is>
      </c>
      <c r="D66" t="inlineStr">
        <is>
          <t>Medium</t>
        </is>
      </c>
      <c r="E66" t="inlineStr">
        <is>
          <t>PASS</t>
        </is>
      </c>
      <c r="F66" t="inlineStr">
        <is>
          <t>OK</t>
        </is>
      </c>
      <c r="G66" t="inlineStr">
        <is>
          <t>luu-ban-nhap-tu-dong-3-4_sec_1377_chunk_1377</t>
        </is>
      </c>
      <c r="H66" s="3" t="n">
        <v>1.1</v>
      </c>
      <c r="I66" s="3" t="n">
        <v>0</v>
      </c>
      <c r="J66" s="3" t="n">
        <v>0</v>
      </c>
      <c r="K66" t="n">
        <v>0</v>
      </c>
      <c r="L66" t="b">
        <v>1</v>
      </c>
    </row>
    <row r="67">
      <c r="A67" t="inlineStr">
        <is>
          <t>LAW_C_014</t>
        </is>
      </c>
      <c r="B67" t="inlineStr">
        <is>
          <t>C</t>
        </is>
      </c>
      <c r="C67" t="inlineStr">
        <is>
          <t>Navigation</t>
        </is>
      </c>
      <c r="D67" t="inlineStr">
        <is>
          <t>Medium</t>
        </is>
      </c>
      <c r="E67" t="inlineStr">
        <is>
          <t>PASS</t>
        </is>
      </c>
      <c r="F67" t="inlineStr">
        <is>
          <t>OK</t>
        </is>
      </c>
      <c r="G67" t="inlineStr">
        <is>
          <t>luu-ban-nhap-tu-dong-3-4_sec_1382_chunk_1382
luu-ban-nhap-tu-dong-3-4_sec_1381_chunk_1381
luu-ban-nhap-tu-dong-3-4_sec_1380_chunk_1380</t>
        </is>
      </c>
      <c r="H67" s="3" t="n">
        <v>1.1</v>
      </c>
      <c r="I67" s="3" t="n">
        <v>0.3333333333333333</v>
      </c>
      <c r="J67" s="3" t="n">
        <v>0.3333333333333333</v>
      </c>
      <c r="K67" t="n">
        <v>0.5</v>
      </c>
      <c r="L67" t="b">
        <v>1</v>
      </c>
    </row>
    <row r="68">
      <c r="A68" t="inlineStr">
        <is>
          <t>LAW_C_015</t>
        </is>
      </c>
      <c r="B68" t="inlineStr">
        <is>
          <t>C</t>
        </is>
      </c>
      <c r="C68" t="inlineStr">
        <is>
          <t>Multi-hop</t>
        </is>
      </c>
      <c r="D68" t="inlineStr">
        <is>
          <t>Hard</t>
        </is>
      </c>
      <c r="E68" t="inlineStr">
        <is>
          <t>FAIL</t>
        </is>
      </c>
      <c r="F68" t="inlineStr">
        <is>
          <t>RERANK_DROP</t>
        </is>
      </c>
      <c r="G68" t="inlineStr">
        <is>
          <t>luu-ban-nhap-tu-dong-3-4_sec_1370_chunk_1370</t>
        </is>
      </c>
      <c r="H68" s="3" t="n">
        <v>0.541</v>
      </c>
      <c r="I68" s="3" t="n">
        <v>0</v>
      </c>
      <c r="J68" s="3" t="n">
        <v>0</v>
      </c>
      <c r="K68" t="n">
        <v>0</v>
      </c>
      <c r="L68" t="b">
        <v>1</v>
      </c>
    </row>
    <row r="69">
      <c r="A69" t="inlineStr">
        <is>
          <t>LAW_C_016</t>
        </is>
      </c>
      <c r="B69" t="inlineStr">
        <is>
          <t>C</t>
        </is>
      </c>
      <c r="C69" t="inlineStr">
        <is>
          <t>Temporal Reasoning</t>
        </is>
      </c>
      <c r="D69" t="inlineStr">
        <is>
          <t>Hard</t>
        </is>
      </c>
      <c r="E69" t="inlineStr">
        <is>
          <t>FAIL</t>
        </is>
      </c>
      <c r="F69" t="inlineStr">
        <is>
          <t>NO_GOLD</t>
        </is>
      </c>
      <c r="G69" t="inlineStr"/>
      <c r="H69" s="3" t="n">
        <v>0.384</v>
      </c>
    </row>
    <row r="70">
      <c r="A70" t="inlineStr">
        <is>
          <t>LAW_C_017</t>
        </is>
      </c>
      <c r="B70" t="inlineStr">
        <is>
          <t>C</t>
        </is>
      </c>
      <c r="C70" t="inlineStr">
        <is>
          <t>False Premise</t>
        </is>
      </c>
      <c r="D70" t="inlineStr">
        <is>
          <t>Hard</t>
        </is>
      </c>
      <c r="E70" t="inlineStr">
        <is>
          <t>PARTIAL</t>
        </is>
      </c>
      <c r="F70" t="inlineStr">
        <is>
          <t>WRONG_SOURCE_ANSWER</t>
        </is>
      </c>
      <c r="G70" t="inlineStr">
        <is>
          <t>luu-ban-nhap-tu-dong-3-4_sec_2561_chunk_2561
luu-ban-nhap-tu-dong-3-4_sec_4231_chunk_4231
luu-ban-nhap-tu-dong-3-4_sec_3488_chunk_3488</t>
        </is>
      </c>
      <c r="H70" s="3" t="n">
        <v>0.723</v>
      </c>
      <c r="I70" s="3" t="n">
        <v>0</v>
      </c>
      <c r="J70" s="3" t="n">
        <v>0</v>
      </c>
      <c r="K70" t="n">
        <v>0</v>
      </c>
      <c r="L70" t="b">
        <v>0</v>
      </c>
    </row>
    <row r="71">
      <c r="A71" t="inlineStr">
        <is>
          <t>LAW_C_018</t>
        </is>
      </c>
      <c r="B71" t="inlineStr">
        <is>
          <t>C</t>
        </is>
      </c>
      <c r="C71" t="inlineStr">
        <is>
          <t>Source Selection</t>
        </is>
      </c>
      <c r="D71" t="inlineStr">
        <is>
          <t>Hard</t>
        </is>
      </c>
      <c r="E71" t="inlineStr">
        <is>
          <t>FAIL</t>
        </is>
      </c>
      <c r="F71" t="inlineStr">
        <is>
          <t>NO_GOLD</t>
        </is>
      </c>
      <c r="G71" t="inlineStr"/>
      <c r="H71" s="3" t="n">
        <v>0.294</v>
      </c>
    </row>
    <row r="72">
      <c r="A72" t="inlineStr">
        <is>
          <t>LAW_C_019</t>
        </is>
      </c>
      <c r="B72" t="inlineStr">
        <is>
          <t>C</t>
        </is>
      </c>
      <c r="C72" t="inlineStr">
        <is>
          <t>Multi-document</t>
        </is>
      </c>
      <c r="D72" t="inlineStr">
        <is>
          <t>Hard</t>
        </is>
      </c>
      <c r="E72" t="inlineStr">
        <is>
          <t>FAIL</t>
        </is>
      </c>
      <c r="F72" t="inlineStr">
        <is>
          <t>RETRIEVAL_MISS</t>
        </is>
      </c>
      <c r="G72" t="inlineStr">
        <is>
          <t>luu-ban-nhap-tu-dong-3-4_sec_1373_chunk_1373</t>
        </is>
      </c>
      <c r="H72" s="3" t="n">
        <v>0.947</v>
      </c>
      <c r="I72" s="3" t="n">
        <v>0</v>
      </c>
      <c r="J72" s="3" t="n">
        <v>0</v>
      </c>
      <c r="K72" t="n">
        <v>0</v>
      </c>
      <c r="L72" t="b">
        <v>0</v>
      </c>
    </row>
    <row r="73">
      <c r="A73" t="inlineStr">
        <is>
          <t>LAW_C_020</t>
        </is>
      </c>
      <c r="B73" t="inlineStr">
        <is>
          <t>C</t>
        </is>
      </c>
      <c r="C73" t="inlineStr">
        <is>
          <t>Multi-document</t>
        </is>
      </c>
      <c r="D73" t="inlineStr">
        <is>
          <t>Hard</t>
        </is>
      </c>
      <c r="E73" t="inlineStr">
        <is>
          <t>FAIL</t>
        </is>
      </c>
      <c r="F73" t="inlineStr">
        <is>
          <t>THRESHOLD_CUT</t>
        </is>
      </c>
      <c r="G73" t="inlineStr">
        <is>
          <t>luu-ban-nhap-tu-dong-3-4_sec_1379_chunk_1379
luu-ban-nhap-tu-dong-3-4_sec_1374_chunk_1374</t>
        </is>
      </c>
      <c r="H73" s="3" t="n">
        <v>0.828</v>
      </c>
      <c r="I73" s="3" t="n">
        <v>0</v>
      </c>
      <c r="J73" s="3" t="n">
        <v>0.5</v>
      </c>
      <c r="K73" t="n">
        <v>0.5</v>
      </c>
      <c r="L73" t="b">
        <v>1</v>
      </c>
    </row>
    <row r="74">
      <c r="A74" t="inlineStr">
        <is>
          <t>LAW_D_001</t>
        </is>
      </c>
      <c r="B74" t="inlineStr">
        <is>
          <t>D</t>
        </is>
      </c>
      <c r="C74" t="inlineStr">
        <is>
          <t>Direct Fact</t>
        </is>
      </c>
      <c r="D74" t="inlineStr">
        <is>
          <t>Easy</t>
        </is>
      </c>
      <c r="E74" t="inlineStr">
        <is>
          <t>PARTIAL</t>
        </is>
      </c>
      <c r="F74" t="inlineStr">
        <is>
          <t>LLM_ANSWER</t>
        </is>
      </c>
      <c r="G74" t="inlineStr">
        <is>
          <t>ILO-VCCI_Labour-Law-Guide-Book-V04-Final_sec_398_chunk_398
ILO-VCCI_Labour-Law-Guide-Book-V04-Final_sec_493_chunk_493
ILO-VCCI_Labour-Law-Guide-Book-V04-Final_sec_456_chunk_456</t>
        </is>
      </c>
      <c r="H74" s="3" t="n">
        <v>0.955</v>
      </c>
      <c r="I74" s="3" t="n">
        <v>0.3333333333333333</v>
      </c>
      <c r="J74" s="3" t="n">
        <v>0.3333333333333333</v>
      </c>
      <c r="K74" t="n">
        <v>0.5</v>
      </c>
      <c r="L74" t="b">
        <v>1</v>
      </c>
    </row>
    <row r="75">
      <c r="A75" t="inlineStr">
        <is>
          <t>LAW_D_002</t>
        </is>
      </c>
      <c r="B75" t="inlineStr">
        <is>
          <t>D</t>
        </is>
      </c>
      <c r="C75" t="inlineStr">
        <is>
          <t>Direct Fact</t>
        </is>
      </c>
      <c r="D75" t="inlineStr">
        <is>
          <t>Easy</t>
        </is>
      </c>
      <c r="E75" t="inlineStr">
        <is>
          <t>PASS</t>
        </is>
      </c>
      <c r="F75" t="inlineStr">
        <is>
          <t>OK</t>
        </is>
      </c>
      <c r="G75" t="inlineStr">
        <is>
          <t>ILO-VCCI_Labour-Law-Guide-Book-V04-Final_sec_744_chunk_744
ILO-VCCI_Labour-Law-Guide-Book-V04-Final_sec_734_chunk_734
ILO-VCCI_Labour-Law-Guide-Book-V04-Final_sec_731_chunk_731</t>
        </is>
      </c>
      <c r="H75" s="3" t="n">
        <v>1</v>
      </c>
      <c r="I75" s="3" t="n">
        <v>0</v>
      </c>
      <c r="J75" s="3" t="n">
        <v>0</v>
      </c>
      <c r="K75" t="n">
        <v>0</v>
      </c>
      <c r="L75" t="b">
        <v>0</v>
      </c>
    </row>
    <row r="76">
      <c r="A76" t="inlineStr">
        <is>
          <t>LAW_D_003</t>
        </is>
      </c>
      <c r="B76" t="inlineStr">
        <is>
          <t>D</t>
        </is>
      </c>
      <c r="C76" t="inlineStr">
        <is>
          <t>List</t>
        </is>
      </c>
      <c r="D76" t="inlineStr">
        <is>
          <t>Easy</t>
        </is>
      </c>
      <c r="E76" t="inlineStr">
        <is>
          <t>PASS</t>
        </is>
      </c>
      <c r="F76" t="inlineStr">
        <is>
          <t>OK</t>
        </is>
      </c>
      <c r="G76" t="inlineStr">
        <is>
          <t>ILO-VCCI_Labour-Law-Guide-Book-V04-Final_sec_399_chunk_399
ILO-VCCI_Labour-Law-Guide-Book-V04-Final_sec_400_chunk_400</t>
        </is>
      </c>
      <c r="H76" s="3" t="n">
        <v>0.975</v>
      </c>
      <c r="I76" s="3" t="n">
        <v>1</v>
      </c>
      <c r="J76" s="3" t="n">
        <v>1</v>
      </c>
      <c r="K76" t="n">
        <v>1</v>
      </c>
      <c r="L76" t="b">
        <v>1</v>
      </c>
    </row>
    <row r="77">
      <c r="A77" t="inlineStr">
        <is>
          <t>LAW_D_004</t>
        </is>
      </c>
      <c r="B77" t="inlineStr">
        <is>
          <t>D</t>
        </is>
      </c>
      <c r="C77" t="inlineStr">
        <is>
          <t>Direct Fact</t>
        </is>
      </c>
      <c r="D77" t="inlineStr">
        <is>
          <t>Easy</t>
        </is>
      </c>
      <c r="E77" t="inlineStr">
        <is>
          <t>FAIL</t>
        </is>
      </c>
      <c r="F77" t="inlineStr">
        <is>
          <t>THRESHOLD_CUT</t>
        </is>
      </c>
      <c r="G77" t="inlineStr">
        <is>
          <t>ILO-VCCI_Labour-Law-Guide-Book-V04-Final_sec_745_chunk_745
ILO-VCCI_Labour-Law-Guide-Book-V04-Final_sec_690_chunk_690
ILO-VCCI_Labour-Law-Guide-Book-V04-Final_sec_555_chunk_555</t>
        </is>
      </c>
      <c r="H77" s="3" t="n">
        <v>1</v>
      </c>
      <c r="I77" s="3" t="n">
        <v>0</v>
      </c>
      <c r="J77" s="3" t="n">
        <v>0.3333333333333333</v>
      </c>
      <c r="K77" t="n">
        <v>0.3333333333333333</v>
      </c>
      <c r="L77" t="b">
        <v>1</v>
      </c>
    </row>
    <row r="78">
      <c r="A78" t="inlineStr">
        <is>
          <t>LAW_D_005</t>
        </is>
      </c>
      <c r="B78" t="inlineStr">
        <is>
          <t>D</t>
        </is>
      </c>
      <c r="C78" t="inlineStr">
        <is>
          <t>Direct Fact</t>
        </is>
      </c>
      <c r="D78" t="inlineStr">
        <is>
          <t>Easy</t>
        </is>
      </c>
      <c r="E78" t="inlineStr">
        <is>
          <t>PASS</t>
        </is>
      </c>
      <c r="F78" t="inlineStr">
        <is>
          <t>OK</t>
        </is>
      </c>
      <c r="G78" t="inlineStr">
        <is>
          <t>ILO-VCCI_Labour-Law-Guide-Book-V04-Final_sec_402_chunk_402</t>
        </is>
      </c>
      <c r="H78" s="3" t="n">
        <v>1.017</v>
      </c>
      <c r="I78" s="3" t="n">
        <v>0</v>
      </c>
      <c r="J78" s="3" t="n">
        <v>0</v>
      </c>
      <c r="K78" t="n">
        <v>0</v>
      </c>
      <c r="L78" t="b">
        <v>0</v>
      </c>
    </row>
    <row r="79">
      <c r="A79" t="inlineStr">
        <is>
          <t>LAW_D_006</t>
        </is>
      </c>
      <c r="B79" t="inlineStr">
        <is>
          <t>D</t>
        </is>
      </c>
      <c r="C79" t="inlineStr">
        <is>
          <t>Direct Fact</t>
        </is>
      </c>
      <c r="D79" t="inlineStr">
        <is>
          <t>Easy</t>
        </is>
      </c>
      <c r="E79" t="inlineStr">
        <is>
          <t>PASS</t>
        </is>
      </c>
      <c r="F79" t="inlineStr">
        <is>
          <t>OK</t>
        </is>
      </c>
      <c r="G79" t="inlineStr">
        <is>
          <t>ILO-VCCI_Labour-Law-Guide-Book-V04-Final_sec_410_chunk_410
ILO-VCCI_Labour-Law-Guide-Book-V04-Final_sec_409_chunk_409
ILO-VCCI_Labour-Law-Guide-Book-V04-Final_sec_408_chunk_408</t>
        </is>
      </c>
      <c r="H79" s="3" t="n">
        <v>1.1</v>
      </c>
      <c r="I79" s="3" t="n">
        <v>0.6666666666666666</v>
      </c>
      <c r="J79" s="3" t="n">
        <v>1</v>
      </c>
      <c r="K79" t="n">
        <v>1</v>
      </c>
      <c r="L79" t="b">
        <v>1</v>
      </c>
    </row>
    <row r="80">
      <c r="A80" t="inlineStr">
        <is>
          <t>LAW_D_007</t>
        </is>
      </c>
      <c r="B80" t="inlineStr">
        <is>
          <t>D</t>
        </is>
      </c>
      <c r="C80" t="inlineStr">
        <is>
          <t>Direct Fact</t>
        </is>
      </c>
      <c r="D80" t="inlineStr">
        <is>
          <t>Easy</t>
        </is>
      </c>
      <c r="E80" t="inlineStr">
        <is>
          <t>PARTIAL</t>
        </is>
      </c>
      <c r="F80" t="inlineStr">
        <is>
          <t>LLM_ANSWER</t>
        </is>
      </c>
      <c r="G80" t="inlineStr">
        <is>
          <t>ILO-VCCI_Labour-Law-Guide-Book-V04-Final_sec_411_chunk_411
ILO-VCCI_Labour-Law-Guide-Book-V04-Final_sec_671_chunk_671
ILO-VCCI_Labour-Law-Guide-Book-V04-Final_sec_674_chunk_674</t>
        </is>
      </c>
      <c r="H80" s="3" t="n">
        <v>0.957</v>
      </c>
      <c r="I80" s="3" t="n">
        <v>0.3333333333333333</v>
      </c>
      <c r="J80" s="3" t="n">
        <v>0.3333333333333333</v>
      </c>
      <c r="K80" t="n">
        <v>0.5</v>
      </c>
      <c r="L80" t="b">
        <v>1</v>
      </c>
    </row>
    <row r="81">
      <c r="A81" t="inlineStr">
        <is>
          <t>LAW_D_008</t>
        </is>
      </c>
      <c r="B81" t="inlineStr">
        <is>
          <t>D</t>
        </is>
      </c>
      <c r="C81" t="inlineStr">
        <is>
          <t>Concept</t>
        </is>
      </c>
      <c r="D81" t="inlineStr">
        <is>
          <t>Medium</t>
        </is>
      </c>
      <c r="E81" t="inlineStr">
        <is>
          <t>PARTIAL</t>
        </is>
      </c>
      <c r="F81" t="inlineStr">
        <is>
          <t>LLM_ANSWER</t>
        </is>
      </c>
      <c r="G81" t="inlineStr">
        <is>
          <t>ILO-VCCI_Labour-Law-Guide-Book-V04-Final_sec_400_chunk_400</t>
        </is>
      </c>
      <c r="H81" s="3" t="n">
        <v>0.862</v>
      </c>
      <c r="I81" s="3" t="n">
        <v>1</v>
      </c>
      <c r="J81" s="3" t="n">
        <v>1</v>
      </c>
      <c r="K81" t="n">
        <v>1</v>
      </c>
      <c r="L81" t="b">
        <v>1</v>
      </c>
    </row>
    <row r="82">
      <c r="A82" t="inlineStr">
        <is>
          <t>LAW_D_009</t>
        </is>
      </c>
      <c r="B82" t="inlineStr">
        <is>
          <t>D</t>
        </is>
      </c>
      <c r="C82" t="inlineStr">
        <is>
          <t>Navigation</t>
        </is>
      </c>
      <c r="D82" t="inlineStr">
        <is>
          <t>Medium</t>
        </is>
      </c>
      <c r="E82" t="inlineStr">
        <is>
          <t>PASS</t>
        </is>
      </c>
      <c r="F82" t="inlineStr">
        <is>
          <t>OK</t>
        </is>
      </c>
      <c r="G82" t="inlineStr">
        <is>
          <t>ILO-VCCI_Labour-Law-Guide-Book-V04-Final_sec_402_chunk_402</t>
        </is>
      </c>
      <c r="H82" s="3" t="n">
        <v>1.067</v>
      </c>
      <c r="I82" s="3" t="n">
        <v>1</v>
      </c>
      <c r="J82" s="3" t="n">
        <v>1</v>
      </c>
      <c r="K82" t="n">
        <v>0.5</v>
      </c>
      <c r="L82" t="b">
        <v>1</v>
      </c>
    </row>
    <row r="83">
      <c r="A83" t="inlineStr">
        <is>
          <t>LAW_D_010</t>
        </is>
      </c>
      <c r="B83" t="inlineStr">
        <is>
          <t>D</t>
        </is>
      </c>
      <c r="C83" t="inlineStr">
        <is>
          <t>Navigation</t>
        </is>
      </c>
      <c r="D83" t="inlineStr">
        <is>
          <t>Medium</t>
        </is>
      </c>
      <c r="E83" t="inlineStr">
        <is>
          <t>PARTIAL</t>
        </is>
      </c>
      <c r="F83" t="inlineStr">
        <is>
          <t>WRONG_SOURCE_ANSWER</t>
        </is>
      </c>
      <c r="G83" t="inlineStr">
        <is>
          <t>ILO-VCCI_Labour-Law-Guide-Book-V04-Final_sec_407_chunk_407
ILO-VCCI_Labour-Law-Guide-Book-V04-Final_sec_406_chunk_406
ILO-VCCI_Labour-Law-Guide-Book-V04-Final_sec_405_chunk_405</t>
        </is>
      </c>
      <c r="H83" s="3" t="n">
        <v>1.04</v>
      </c>
      <c r="I83" s="3" t="n">
        <v>0</v>
      </c>
      <c r="J83" s="3" t="n">
        <v>0</v>
      </c>
      <c r="K83" t="n">
        <v>0</v>
      </c>
      <c r="L83" t="b">
        <v>1</v>
      </c>
    </row>
    <row r="84">
      <c r="A84" t="inlineStr">
        <is>
          <t>LAW_D_011</t>
        </is>
      </c>
      <c r="B84" t="inlineStr">
        <is>
          <t>D</t>
        </is>
      </c>
      <c r="C84" t="inlineStr">
        <is>
          <t>Navigation</t>
        </is>
      </c>
      <c r="D84" t="inlineStr">
        <is>
          <t>Medium</t>
        </is>
      </c>
      <c r="E84" t="inlineStr">
        <is>
          <t>PASS</t>
        </is>
      </c>
      <c r="F84" t="inlineStr">
        <is>
          <t>OK</t>
        </is>
      </c>
      <c r="G84" t="inlineStr">
        <is>
          <t>ILO-VCCI_Labour-Law-Guide-Book-V04-Final_sec_405_chunk_405</t>
        </is>
      </c>
      <c r="H84" s="3" t="n">
        <v>1.081</v>
      </c>
      <c r="I84" s="3" t="n">
        <v>0</v>
      </c>
      <c r="J84" s="3" t="n">
        <v>0</v>
      </c>
      <c r="K84" t="n">
        <v>0</v>
      </c>
      <c r="L84" t="b">
        <v>1</v>
      </c>
    </row>
    <row r="85">
      <c r="A85" t="inlineStr">
        <is>
          <t>LAW_D_012</t>
        </is>
      </c>
      <c r="B85" t="inlineStr">
        <is>
          <t>D</t>
        </is>
      </c>
      <c r="C85" t="inlineStr">
        <is>
          <t>Navigation</t>
        </is>
      </c>
      <c r="D85" t="inlineStr">
        <is>
          <t>Medium</t>
        </is>
      </c>
      <c r="E85" t="inlineStr">
        <is>
          <t>PASS</t>
        </is>
      </c>
      <c r="F85" t="inlineStr">
        <is>
          <t>OK</t>
        </is>
      </c>
      <c r="G85" t="inlineStr">
        <is>
          <t>ILO-VCCI_Labour-Law-Guide-Book-V04-Final_sec_410_chunk_410
ILO-VCCI_Labour-Law-Guide-Book-V04-Final_sec_408_chunk_408</t>
        </is>
      </c>
      <c r="H85" s="3" t="n">
        <v>1.072</v>
      </c>
      <c r="I85" s="3" t="n">
        <v>0</v>
      </c>
      <c r="J85" s="3" t="n">
        <v>0</v>
      </c>
      <c r="K85" t="n">
        <v>0</v>
      </c>
      <c r="L85" t="b">
        <v>1</v>
      </c>
    </row>
    <row r="86">
      <c r="A86" t="inlineStr">
        <is>
          <t>LAW_D_013</t>
        </is>
      </c>
      <c r="B86" t="inlineStr">
        <is>
          <t>D</t>
        </is>
      </c>
      <c r="C86" t="inlineStr">
        <is>
          <t>Navigation</t>
        </is>
      </c>
      <c r="D86" t="inlineStr">
        <is>
          <t>Medium</t>
        </is>
      </c>
      <c r="E86" t="inlineStr">
        <is>
          <t>FAIL</t>
        </is>
      </c>
      <c r="F86" t="inlineStr">
        <is>
          <t>RETRIEVAL_MISS</t>
        </is>
      </c>
      <c r="G86" t="inlineStr">
        <is>
          <t>ILO-VCCI_Labour-Law-Guide-Book-V04-Final_sec_412_chunk_412
ILO-VCCI_Labour-Law-Guide-Book-V04-Final_sec_411_chunk_411</t>
        </is>
      </c>
      <c r="H86" s="3" t="n">
        <v>0.989</v>
      </c>
      <c r="I86" s="3" t="n">
        <v>0</v>
      </c>
      <c r="J86" s="3" t="n">
        <v>0</v>
      </c>
      <c r="K86" t="n">
        <v>0</v>
      </c>
      <c r="L86" t="b">
        <v>0</v>
      </c>
    </row>
    <row r="87">
      <c r="A87" t="inlineStr">
        <is>
          <t>LAW_D_014</t>
        </is>
      </c>
      <c r="B87" t="inlineStr">
        <is>
          <t>D</t>
        </is>
      </c>
      <c r="C87" t="inlineStr">
        <is>
          <t>Scope</t>
        </is>
      </c>
      <c r="D87" t="inlineStr">
        <is>
          <t>Medium</t>
        </is>
      </c>
      <c r="E87" t="inlineStr">
        <is>
          <t>PASS</t>
        </is>
      </c>
      <c r="F87" t="inlineStr">
        <is>
          <t>OK</t>
        </is>
      </c>
      <c r="G87" t="inlineStr">
        <is>
          <t>ILO-VCCI_Labour-Law-Guide-Book-V04-Final_sec_399_chunk_399</t>
        </is>
      </c>
      <c r="H87" s="3" t="n">
        <v>0.983</v>
      </c>
      <c r="I87" s="3" t="n">
        <v>1</v>
      </c>
      <c r="J87" s="3" t="n">
        <v>1</v>
      </c>
      <c r="K87" t="n">
        <v>1</v>
      </c>
      <c r="L87" t="b">
        <v>1</v>
      </c>
    </row>
    <row r="88">
      <c r="A88" t="inlineStr">
        <is>
          <t>LAW_D_015</t>
        </is>
      </c>
      <c r="B88" t="inlineStr">
        <is>
          <t>D</t>
        </is>
      </c>
      <c r="C88" t="inlineStr">
        <is>
          <t>Multi-hop</t>
        </is>
      </c>
      <c r="D88" t="inlineStr">
        <is>
          <t>Hard</t>
        </is>
      </c>
      <c r="E88" t="inlineStr">
        <is>
          <t>FAIL</t>
        </is>
      </c>
      <c r="F88" t="inlineStr">
        <is>
          <t>RERANK_DROP</t>
        </is>
      </c>
      <c r="G88" t="inlineStr">
        <is>
          <t>ILO-VCCI_Labour-Law-Guide-Book-V04-Final_sec_515_chunk_515</t>
        </is>
      </c>
      <c r="H88" s="3" t="n">
        <v>0.905</v>
      </c>
      <c r="I88" s="3" t="n">
        <v>0</v>
      </c>
      <c r="J88" s="3" t="n">
        <v>0</v>
      </c>
      <c r="K88" t="n">
        <v>0</v>
      </c>
      <c r="L88" t="b">
        <v>1</v>
      </c>
    </row>
    <row r="89">
      <c r="A89" t="inlineStr">
        <is>
          <t>LAW_D_016</t>
        </is>
      </c>
      <c r="B89" t="inlineStr">
        <is>
          <t>D</t>
        </is>
      </c>
      <c r="C89" t="inlineStr">
        <is>
          <t>Multi-hop</t>
        </is>
      </c>
      <c r="D89" t="inlineStr">
        <is>
          <t>Hard</t>
        </is>
      </c>
      <c r="E89" t="inlineStr">
        <is>
          <t>PASS</t>
        </is>
      </c>
      <c r="F89" t="inlineStr">
        <is>
          <t>OK</t>
        </is>
      </c>
      <c r="G89" t="inlineStr">
        <is>
          <t>ILO-VCCI_Labour-Law-Guide-Book-V04-Final_sec_400_chunk_400
ILO-VCCI_Labour-Law-Guide-Book-V04-Final_sec_399_chunk_399</t>
        </is>
      </c>
      <c r="H89" s="3" t="n">
        <v>1.007</v>
      </c>
      <c r="I89" s="3" t="n">
        <v>1</v>
      </c>
      <c r="J89" s="3" t="n">
        <v>1</v>
      </c>
      <c r="K89" t="n">
        <v>1</v>
      </c>
      <c r="L89" t="b">
        <v>1</v>
      </c>
    </row>
    <row r="90">
      <c r="A90" t="inlineStr">
        <is>
          <t>LAW_D_017</t>
        </is>
      </c>
      <c r="B90" t="inlineStr">
        <is>
          <t>D</t>
        </is>
      </c>
      <c r="C90" t="inlineStr">
        <is>
          <t>Comparison</t>
        </is>
      </c>
      <c r="D90" t="inlineStr">
        <is>
          <t>Hard</t>
        </is>
      </c>
      <c r="E90" t="inlineStr">
        <is>
          <t>FAIL</t>
        </is>
      </c>
      <c r="F90" t="inlineStr">
        <is>
          <t>RERANK_DROP</t>
        </is>
      </c>
      <c r="G90" t="inlineStr">
        <is>
          <t>ILO-VCCI_Labour-Law-Guide-Book-V04-Final_sec_428_chunk_428
ILO-VCCI_Labour-Law-Guide-Book-V04-Final_sec_521_chunk_521
ILO-VCCI_Labour-Law-Guide-Book-V04-Final_sec_482_chunk_482</t>
        </is>
      </c>
      <c r="H90" s="3" t="n">
        <v>0.6919999999999999</v>
      </c>
      <c r="I90" s="3" t="n">
        <v>0</v>
      </c>
      <c r="J90" s="3" t="n">
        <v>0</v>
      </c>
      <c r="K90" t="n">
        <v>0</v>
      </c>
      <c r="L90" t="b">
        <v>1</v>
      </c>
    </row>
    <row r="91">
      <c r="A91" t="inlineStr">
        <is>
          <t>LAW_D_018</t>
        </is>
      </c>
      <c r="B91" t="inlineStr">
        <is>
          <t>D</t>
        </is>
      </c>
      <c r="C91" t="inlineStr">
        <is>
          <t>Source-awareness</t>
        </is>
      </c>
      <c r="D91" t="inlineStr">
        <is>
          <t>Hard</t>
        </is>
      </c>
      <c r="E91" t="inlineStr">
        <is>
          <t>FAIL</t>
        </is>
      </c>
      <c r="F91" t="inlineStr">
        <is>
          <t>NO_GOLD</t>
        </is>
      </c>
      <c r="G91" t="inlineStr"/>
      <c r="H91" s="3" t="n">
        <v>0.392</v>
      </c>
    </row>
    <row r="92">
      <c r="A92" t="inlineStr">
        <is>
          <t>LAW_D_019</t>
        </is>
      </c>
      <c r="B92" t="inlineStr">
        <is>
          <t>D</t>
        </is>
      </c>
      <c r="C92" t="inlineStr">
        <is>
          <t>Synthesis</t>
        </is>
      </c>
      <c r="D92" t="inlineStr">
        <is>
          <t>Hard</t>
        </is>
      </c>
      <c r="E92" t="inlineStr">
        <is>
          <t>PASS</t>
        </is>
      </c>
      <c r="F92" t="inlineStr">
        <is>
          <t>OK</t>
        </is>
      </c>
      <c r="G92" t="inlineStr">
        <is>
          <t>ILO-VCCI_Labour-Law-Guide-Book-V04-Final_sec_398_chunk_398</t>
        </is>
      </c>
      <c r="H92" s="3" t="n">
        <v>0.778</v>
      </c>
      <c r="I92" s="3" t="n">
        <v>1</v>
      </c>
      <c r="J92" s="3" t="n">
        <v>1</v>
      </c>
      <c r="K92" t="n">
        <v>0.3333333333333333</v>
      </c>
      <c r="L92" t="b">
        <v>1</v>
      </c>
    </row>
    <row r="93">
      <c r="A93" t="inlineStr">
        <is>
          <t>LAW_D_020</t>
        </is>
      </c>
      <c r="B93" t="inlineStr">
        <is>
          <t>D</t>
        </is>
      </c>
      <c r="C93" t="inlineStr">
        <is>
          <t>Scenario-based</t>
        </is>
      </c>
      <c r="D93" t="inlineStr">
        <is>
          <t>Hard</t>
        </is>
      </c>
      <c r="E93" t="inlineStr">
        <is>
          <t>FAIL</t>
        </is>
      </c>
      <c r="F93" t="inlineStr">
        <is>
          <t>THRESHOLD_CUT</t>
        </is>
      </c>
      <c r="G93" t="inlineStr">
        <is>
          <t>ILO-VCCI_Labour-Law-Guide-Book-V04-Final_sec_404_chunk_404
ILO-VCCI_Labour-Law-Guide-Book-V04-Final_sec_399_chunk_399
ILO-VCCI_Labour-Law-Guide-Book-V04-Final_sec_555_chunk_555</t>
        </is>
      </c>
      <c r="H93" s="3" t="n">
        <v>0.82</v>
      </c>
      <c r="I93" s="3" t="n">
        <v>0</v>
      </c>
      <c r="J93" s="3" t="n">
        <v>0.3333333333333333</v>
      </c>
      <c r="K93" t="n">
        <v>0.5</v>
      </c>
      <c r="L93" t="b">
        <v>1</v>
      </c>
    </row>
    <row r="94">
      <c r="A94" t="inlineStr">
        <is>
          <t>LAW_E_001</t>
        </is>
      </c>
      <c r="B94" t="inlineStr">
        <is>
          <t>E</t>
        </is>
      </c>
      <c r="C94" t="inlineStr">
        <is>
          <t>Direct Fact</t>
        </is>
      </c>
      <c r="D94" t="inlineStr">
        <is>
          <t>Easy</t>
        </is>
      </c>
      <c r="E94" t="inlineStr">
        <is>
          <t>PARTIAL</t>
        </is>
      </c>
      <c r="F94" t="inlineStr">
        <is>
          <t>LLM_ANSWER</t>
        </is>
      </c>
      <c r="G94" t="inlineStr">
        <is>
          <t>Văn-bản-hợp-nhất-18-VBHN-VPQH_sec_102_chunk_102</t>
        </is>
      </c>
      <c r="H94" s="3" t="n">
        <v>1.1</v>
      </c>
      <c r="I94" s="3" t="n">
        <v>1</v>
      </c>
      <c r="J94" s="3" t="n">
        <v>1</v>
      </c>
      <c r="K94" t="n">
        <v>0.25</v>
      </c>
      <c r="L94" t="b">
        <v>1</v>
      </c>
    </row>
    <row r="95">
      <c r="A95" t="inlineStr">
        <is>
          <t>LAW_E_002</t>
        </is>
      </c>
      <c r="B95" t="inlineStr">
        <is>
          <t>E</t>
        </is>
      </c>
      <c r="C95" t="inlineStr">
        <is>
          <t>Definition</t>
        </is>
      </c>
      <c r="D95" t="inlineStr">
        <is>
          <t>Easy</t>
        </is>
      </c>
      <c r="E95" t="inlineStr">
        <is>
          <t>PASS</t>
        </is>
      </c>
      <c r="F95" t="inlineStr">
        <is>
          <t>OK</t>
        </is>
      </c>
      <c r="G95" t="inlineStr">
        <is>
          <t>Văn-bản-hợp-nhất-18-VBHN-VPQH_sec_105_chunk_105</t>
        </is>
      </c>
      <c r="H95" s="3" t="n">
        <v>1.1</v>
      </c>
      <c r="I95" s="3" t="n">
        <v>1</v>
      </c>
      <c r="J95" s="3" t="n">
        <v>1</v>
      </c>
      <c r="K95" t="n">
        <v>1</v>
      </c>
      <c r="L95" t="b">
        <v>1</v>
      </c>
    </row>
    <row r="96">
      <c r="A96" t="inlineStr">
        <is>
          <t>LAW_E_003</t>
        </is>
      </c>
      <c r="B96" t="inlineStr">
        <is>
          <t>E</t>
        </is>
      </c>
      <c r="C96" t="inlineStr">
        <is>
          <t>Direct Fact</t>
        </is>
      </c>
      <c r="D96" t="inlineStr">
        <is>
          <t>Easy</t>
        </is>
      </c>
      <c r="E96" t="inlineStr">
        <is>
          <t>PARTIAL</t>
        </is>
      </c>
      <c r="F96" t="inlineStr">
        <is>
          <t>LLM_ANSWER</t>
        </is>
      </c>
      <c r="G96" t="inlineStr">
        <is>
          <t>Văn-bản-hợp-nhất-18-VBHN-VPQH_sec_105_chunk_105</t>
        </is>
      </c>
      <c r="H96" s="3" t="n">
        <v>0.8080000000000001</v>
      </c>
      <c r="I96" s="3" t="n">
        <v>1</v>
      </c>
      <c r="J96" s="3" t="n">
        <v>1</v>
      </c>
      <c r="K96" t="n">
        <v>1</v>
      </c>
      <c r="L96" t="b">
        <v>1</v>
      </c>
    </row>
    <row r="97">
      <c r="A97" t="inlineStr">
        <is>
          <t>LAW_E_004</t>
        </is>
      </c>
      <c r="B97" t="inlineStr">
        <is>
          <t>E</t>
        </is>
      </c>
      <c r="C97" t="inlineStr">
        <is>
          <t>Definition</t>
        </is>
      </c>
      <c r="D97" t="inlineStr">
        <is>
          <t>Easy</t>
        </is>
      </c>
      <c r="E97" t="inlineStr">
        <is>
          <t>PASS</t>
        </is>
      </c>
      <c r="F97" t="inlineStr">
        <is>
          <t>OK</t>
        </is>
      </c>
      <c r="G97" t="inlineStr">
        <is>
          <t>Văn-bản-hợp-nhất-18-VBHN-VPQH_sec_325_chunk_325
Văn-bản-hợp-nhất-18-VBHN-VPQH_sec_345_chunk_345</t>
        </is>
      </c>
      <c r="H97" s="3" t="n">
        <v>1</v>
      </c>
      <c r="I97" s="3" t="n">
        <v>0</v>
      </c>
      <c r="J97" s="3" t="n">
        <v>0</v>
      </c>
      <c r="K97" t="n">
        <v>0</v>
      </c>
      <c r="L97" t="b">
        <v>0</v>
      </c>
    </row>
    <row r="98">
      <c r="A98" t="inlineStr">
        <is>
          <t>LAW_E_005</t>
        </is>
      </c>
      <c r="B98" t="inlineStr">
        <is>
          <t>E</t>
        </is>
      </c>
      <c r="C98" t="inlineStr">
        <is>
          <t>Direct Fact</t>
        </is>
      </c>
      <c r="D98" t="inlineStr">
        <is>
          <t>Easy</t>
        </is>
      </c>
      <c r="E98" t="inlineStr">
        <is>
          <t>PASS</t>
        </is>
      </c>
      <c r="F98" t="inlineStr">
        <is>
          <t>OK</t>
        </is>
      </c>
      <c r="G98" t="inlineStr">
        <is>
          <t>Văn-bản-hợp-nhất-18-VBHN-VPQH_sec_125_chunk_125</t>
        </is>
      </c>
      <c r="H98" s="3" t="n">
        <v>0.976</v>
      </c>
      <c r="I98" s="3" t="n">
        <v>1</v>
      </c>
      <c r="J98" s="3" t="n">
        <v>1</v>
      </c>
      <c r="K98" t="n">
        <v>1</v>
      </c>
      <c r="L98" t="b">
        <v>1</v>
      </c>
    </row>
    <row r="99">
      <c r="A99" t="inlineStr">
        <is>
          <t>LAW_E_006</t>
        </is>
      </c>
      <c r="B99" t="inlineStr">
        <is>
          <t>E</t>
        </is>
      </c>
      <c r="C99" t="inlineStr">
        <is>
          <t>Direct Fact</t>
        </is>
      </c>
      <c r="D99" t="inlineStr">
        <is>
          <t>Easy</t>
        </is>
      </c>
      <c r="E99" t="inlineStr">
        <is>
          <t>PASS</t>
        </is>
      </c>
      <c r="F99" t="inlineStr">
        <is>
          <t>OK</t>
        </is>
      </c>
      <c r="G99" t="inlineStr">
        <is>
          <t>Văn-bản-hợp-nhất-18-VBHN-VPQH_sec_129_chunk_129</t>
        </is>
      </c>
      <c r="H99" s="3" t="n">
        <v>1</v>
      </c>
      <c r="I99" s="3" t="n">
        <v>1</v>
      </c>
      <c r="J99" s="3" t="n">
        <v>1</v>
      </c>
      <c r="K99" t="n">
        <v>0.5</v>
      </c>
      <c r="L99" t="b">
        <v>1</v>
      </c>
    </row>
    <row r="100">
      <c r="A100" t="inlineStr">
        <is>
          <t>LAW_E_007</t>
        </is>
      </c>
      <c r="B100" t="inlineStr">
        <is>
          <t>E</t>
        </is>
      </c>
      <c r="C100" t="inlineStr">
        <is>
          <t>Direct Fact</t>
        </is>
      </c>
      <c r="D100" t="inlineStr">
        <is>
          <t>Easy</t>
        </is>
      </c>
      <c r="E100" t="inlineStr">
        <is>
          <t>PASS</t>
        </is>
      </c>
      <c r="F100" t="inlineStr">
        <is>
          <t>OK</t>
        </is>
      </c>
      <c r="G100" t="inlineStr">
        <is>
          <t>Văn-bản-hợp-nhất-18-VBHN-VPQH_sec_135_chunk_135</t>
        </is>
      </c>
      <c r="H100" s="3" t="n">
        <v>1.1</v>
      </c>
      <c r="I100" s="3" t="n">
        <v>1</v>
      </c>
      <c r="J100" s="3" t="n">
        <v>1</v>
      </c>
      <c r="K100" t="n">
        <v>0.5</v>
      </c>
      <c r="L100" t="b">
        <v>1</v>
      </c>
    </row>
    <row r="101">
      <c r="A101" t="inlineStr">
        <is>
          <t>LAW_E_008</t>
        </is>
      </c>
      <c r="B101" t="inlineStr">
        <is>
          <t>E</t>
        </is>
      </c>
      <c r="C101" t="inlineStr">
        <is>
          <t>Rule</t>
        </is>
      </c>
      <c r="D101" t="inlineStr">
        <is>
          <t>Medium</t>
        </is>
      </c>
      <c r="E101" t="inlineStr">
        <is>
          <t>PASS</t>
        </is>
      </c>
      <c r="F101" t="inlineStr">
        <is>
          <t>OK</t>
        </is>
      </c>
      <c r="G101" t="inlineStr">
        <is>
          <t>Văn-bản-hợp-nhất-18-VBHN-VPQH_sec_136_chunk_136</t>
        </is>
      </c>
      <c r="H101" s="3" t="n">
        <v>1.1</v>
      </c>
      <c r="I101" s="3" t="n">
        <v>1</v>
      </c>
      <c r="J101" s="3" t="n">
        <v>1</v>
      </c>
      <c r="K101" t="n">
        <v>0.3333333333333333</v>
      </c>
      <c r="L101" t="b">
        <v>1</v>
      </c>
    </row>
    <row r="102">
      <c r="A102" t="inlineStr">
        <is>
          <t>LAW_E_009</t>
        </is>
      </c>
      <c r="B102" t="inlineStr">
        <is>
          <t>E</t>
        </is>
      </c>
      <c r="C102" t="inlineStr">
        <is>
          <t>Rule</t>
        </is>
      </c>
      <c r="D102" t="inlineStr">
        <is>
          <t>Medium</t>
        </is>
      </c>
      <c r="E102" t="inlineStr">
        <is>
          <t>PARTIAL</t>
        </is>
      </c>
      <c r="F102" t="inlineStr">
        <is>
          <t>LLM_ANSWER</t>
        </is>
      </c>
      <c r="G102" t="inlineStr">
        <is>
          <t>Văn-bản-hợp-nhất-18-VBHN-VPQH_sec_140_chunk_140
Văn-bản-hợp-nhất-18-VBHN-VPQH_sec_141_chunk_141</t>
        </is>
      </c>
      <c r="H102" s="3" t="n">
        <v>1.013</v>
      </c>
      <c r="I102" s="3" t="n">
        <v>0.5</v>
      </c>
      <c r="J102" s="3" t="n">
        <v>1</v>
      </c>
      <c r="K102" t="n">
        <v>0.5</v>
      </c>
      <c r="L102" t="b">
        <v>1</v>
      </c>
    </row>
    <row r="103">
      <c r="A103" t="inlineStr">
        <is>
          <t>LAW_E_010</t>
        </is>
      </c>
      <c r="B103" t="inlineStr">
        <is>
          <t>E</t>
        </is>
      </c>
      <c r="C103" t="inlineStr">
        <is>
          <t>Rule</t>
        </is>
      </c>
      <c r="D103" t="inlineStr">
        <is>
          <t>Medium</t>
        </is>
      </c>
      <c r="E103" t="inlineStr">
        <is>
          <t>PARTIAL</t>
        </is>
      </c>
      <c r="F103" t="inlineStr">
        <is>
          <t>WRONG_SOURCE_ANSWER</t>
        </is>
      </c>
      <c r="G103" t="inlineStr">
        <is>
          <t>Văn-bản-hợp-nhất-18-VBHN-VPQH_sec_152_chunk_152
Văn-bản-hợp-nhất-18-VBHN-VPQH_sec_151_chunk_151</t>
        </is>
      </c>
      <c r="H103" s="3" t="n">
        <v>0.995</v>
      </c>
      <c r="I103" s="3" t="n">
        <v>0</v>
      </c>
      <c r="J103" s="3" t="n">
        <v>0</v>
      </c>
      <c r="K103" t="n">
        <v>0</v>
      </c>
      <c r="L103" t="b">
        <v>0</v>
      </c>
    </row>
    <row r="104">
      <c r="A104" t="inlineStr">
        <is>
          <t>LAW_E_011</t>
        </is>
      </c>
      <c r="B104" t="inlineStr">
        <is>
          <t>E</t>
        </is>
      </c>
      <c r="C104" t="inlineStr">
        <is>
          <t>Rule</t>
        </is>
      </c>
      <c r="D104" t="inlineStr">
        <is>
          <t>Medium</t>
        </is>
      </c>
      <c r="E104" t="inlineStr">
        <is>
          <t>PARTIAL</t>
        </is>
      </c>
      <c r="F104" t="inlineStr">
        <is>
          <t>WRONG_SOURCE_ANSWER</t>
        </is>
      </c>
      <c r="G104" t="inlineStr">
        <is>
          <t>Văn-bản-hợp-nhất-18-VBHN-VPQH_sec_152_chunk_152
Văn-bản-hợp-nhất-18-VBHN-VPQH_sec_151_chunk_151</t>
        </is>
      </c>
      <c r="H104" s="3" t="n">
        <v>1.1</v>
      </c>
      <c r="I104" s="3" t="n">
        <v>0</v>
      </c>
      <c r="J104" s="3" t="n">
        <v>0</v>
      </c>
      <c r="K104" t="n">
        <v>0</v>
      </c>
      <c r="L104" t="b">
        <v>0</v>
      </c>
    </row>
    <row r="105">
      <c r="A105" t="inlineStr">
        <is>
          <t>LAW_E_012</t>
        </is>
      </c>
      <c r="B105" t="inlineStr">
        <is>
          <t>E</t>
        </is>
      </c>
      <c r="C105" t="inlineStr">
        <is>
          <t>Rule</t>
        </is>
      </c>
      <c r="D105" t="inlineStr">
        <is>
          <t>Medium</t>
        </is>
      </c>
      <c r="E105" t="inlineStr">
        <is>
          <t>PARTIAL</t>
        </is>
      </c>
      <c r="F105" t="inlineStr">
        <is>
          <t>LLM_ANSWER</t>
        </is>
      </c>
      <c r="G105" t="inlineStr">
        <is>
          <t>Văn-bản-hợp-nhất-18-VBHN-VPQH_sec_165_chunk_165
Văn-bản-hợp-nhất-18-VBHN-VPQH_sec_166_chunk_166</t>
        </is>
      </c>
      <c r="H105" s="3" t="n">
        <v>0.881</v>
      </c>
      <c r="I105" s="3" t="n">
        <v>0.5</v>
      </c>
      <c r="J105" s="3" t="n">
        <v>0.5</v>
      </c>
      <c r="K105" t="n">
        <v>1</v>
      </c>
      <c r="L105" t="b">
        <v>1</v>
      </c>
    </row>
    <row r="106">
      <c r="A106" t="inlineStr">
        <is>
          <t>LAW_E_013</t>
        </is>
      </c>
      <c r="B106" t="inlineStr">
        <is>
          <t>E</t>
        </is>
      </c>
      <c r="C106" t="inlineStr">
        <is>
          <t>Rule</t>
        </is>
      </c>
      <c r="D106" t="inlineStr">
        <is>
          <t>Medium</t>
        </is>
      </c>
      <c r="E106" t="inlineStr">
        <is>
          <t>PARTIAL</t>
        </is>
      </c>
      <c r="F106" t="inlineStr">
        <is>
          <t>WRONG_SOURCE_ANSWER</t>
        </is>
      </c>
      <c r="G106" t="inlineStr">
        <is>
          <t>Văn-bản-hợp-nhất-18-VBHN-VPQH_sec_166_chunk_166</t>
        </is>
      </c>
      <c r="H106" s="3" t="n">
        <v>0.607</v>
      </c>
      <c r="I106" s="3" t="n">
        <v>0</v>
      </c>
      <c r="J106" s="3" t="n">
        <v>1</v>
      </c>
      <c r="K106" t="n">
        <v>0.5</v>
      </c>
      <c r="L106" t="b">
        <v>1</v>
      </c>
    </row>
    <row r="107">
      <c r="A107" t="inlineStr">
        <is>
          <t>LAW_E_014</t>
        </is>
      </c>
      <c r="B107" t="inlineStr">
        <is>
          <t>E</t>
        </is>
      </c>
      <c r="C107" t="inlineStr">
        <is>
          <t>Definition</t>
        </is>
      </c>
      <c r="D107" t="inlineStr">
        <is>
          <t>Medium</t>
        </is>
      </c>
      <c r="E107" t="inlineStr">
        <is>
          <t>PARTIAL</t>
        </is>
      </c>
      <c r="F107" t="inlineStr">
        <is>
          <t>WRONG_SOURCE_ANSWER</t>
        </is>
      </c>
      <c r="G107" t="inlineStr">
        <is>
          <t>Văn-bản-hợp-nhất-18-VBHN-VPQH_sec_214_chunk_214</t>
        </is>
      </c>
      <c r="H107" s="3" t="n">
        <v>1.1</v>
      </c>
      <c r="I107" s="3" t="n">
        <v>0</v>
      </c>
      <c r="J107" s="3" t="n">
        <v>1</v>
      </c>
      <c r="K107" t="n">
        <v>0.5</v>
      </c>
      <c r="L107" t="b">
        <v>1</v>
      </c>
    </row>
    <row r="108">
      <c r="A108" t="inlineStr">
        <is>
          <t>LAW_E_015</t>
        </is>
      </c>
      <c r="B108" t="inlineStr">
        <is>
          <t>E</t>
        </is>
      </c>
      <c r="C108" t="inlineStr">
        <is>
          <t>Scenario-based</t>
        </is>
      </c>
      <c r="D108" t="inlineStr">
        <is>
          <t>Hard</t>
        </is>
      </c>
      <c r="E108" t="inlineStr">
        <is>
          <t>PASS</t>
        </is>
      </c>
      <c r="F108" t="inlineStr">
        <is>
          <t>OK</t>
        </is>
      </c>
      <c r="G108" t="inlineStr">
        <is>
          <t>Văn-bản-hợp-nhất-18-VBHN-VPQH_sec_222_chunk_222</t>
        </is>
      </c>
      <c r="H108" s="3" t="n">
        <v>1.1</v>
      </c>
      <c r="I108" s="3" t="n">
        <v>1</v>
      </c>
      <c r="J108" s="3" t="n">
        <v>1</v>
      </c>
      <c r="K108" t="n">
        <v>1</v>
      </c>
      <c r="L108" t="b">
        <v>1</v>
      </c>
    </row>
    <row r="109">
      <c r="A109" t="inlineStr">
        <is>
          <t>LAW_E_016</t>
        </is>
      </c>
      <c r="B109" t="inlineStr">
        <is>
          <t>E</t>
        </is>
      </c>
      <c r="C109" t="inlineStr">
        <is>
          <t>Scenario-based</t>
        </is>
      </c>
      <c r="D109" t="inlineStr">
        <is>
          <t>Hard</t>
        </is>
      </c>
      <c r="E109" t="inlineStr">
        <is>
          <t>PARTIAL</t>
        </is>
      </c>
      <c r="F109" t="inlineStr">
        <is>
          <t>LLM_ANSWER</t>
        </is>
      </c>
      <c r="G109" t="inlineStr">
        <is>
          <t>Văn-bản-hợp-nhất-18-VBHN-VPQH_sec_222_chunk_222</t>
        </is>
      </c>
      <c r="H109" s="3" t="n">
        <v>0.911</v>
      </c>
      <c r="I109" s="3" t="n">
        <v>1</v>
      </c>
      <c r="J109" s="3" t="n">
        <v>1</v>
      </c>
      <c r="K109" t="n">
        <v>1</v>
      </c>
      <c r="L109" t="b">
        <v>1</v>
      </c>
    </row>
    <row r="110">
      <c r="A110" t="inlineStr">
        <is>
          <t>LAW_E_017</t>
        </is>
      </c>
      <c r="B110" t="inlineStr">
        <is>
          <t>E</t>
        </is>
      </c>
      <c r="C110" t="inlineStr">
        <is>
          <t>Multi-hop</t>
        </is>
      </c>
      <c r="D110" t="inlineStr">
        <is>
          <t>Hard</t>
        </is>
      </c>
      <c r="E110" t="inlineStr">
        <is>
          <t>PASS</t>
        </is>
      </c>
      <c r="F110" t="inlineStr">
        <is>
          <t>OK</t>
        </is>
      </c>
      <c r="G110" t="inlineStr">
        <is>
          <t>Văn-bản-hợp-nhất-18-VBHN-VPQH_sec_229_chunk_229</t>
        </is>
      </c>
      <c r="H110" s="3" t="n">
        <v>1.083</v>
      </c>
      <c r="I110" s="3" t="n">
        <v>1</v>
      </c>
      <c r="J110" s="3" t="n">
        <v>1</v>
      </c>
      <c r="K110" t="n">
        <v>1</v>
      </c>
      <c r="L110" t="b">
        <v>1</v>
      </c>
    </row>
    <row r="111">
      <c r="A111" t="inlineStr">
        <is>
          <t>LAW_E_018</t>
        </is>
      </c>
      <c r="B111" t="inlineStr">
        <is>
          <t>E</t>
        </is>
      </c>
      <c r="C111" t="inlineStr">
        <is>
          <t>Multi-hop</t>
        </is>
      </c>
      <c r="D111" t="inlineStr">
        <is>
          <t>Hard</t>
        </is>
      </c>
      <c r="E111" t="inlineStr">
        <is>
          <t>PARTIAL</t>
        </is>
      </c>
      <c r="F111" t="inlineStr">
        <is>
          <t>LLM_ANSWER</t>
        </is>
      </c>
      <c r="G111" t="inlineStr">
        <is>
          <t>Văn-bản-hợp-nhất-18-VBHN-VPQH_sec_238_chunk_238</t>
        </is>
      </c>
      <c r="H111" s="3" t="n">
        <v>0.975</v>
      </c>
      <c r="I111" s="3" t="n">
        <v>1</v>
      </c>
      <c r="J111" s="3" t="n">
        <v>1</v>
      </c>
      <c r="K111" t="n">
        <v>0.2</v>
      </c>
      <c r="L111" t="b">
        <v>1</v>
      </c>
    </row>
    <row r="112">
      <c r="A112" t="inlineStr">
        <is>
          <t>LAW_E_019</t>
        </is>
      </c>
      <c r="B112" t="inlineStr">
        <is>
          <t>E</t>
        </is>
      </c>
      <c r="C112" t="inlineStr">
        <is>
          <t>Procedure</t>
        </is>
      </c>
      <c r="D112" t="inlineStr">
        <is>
          <t>Hard</t>
        </is>
      </c>
      <c r="E112" t="inlineStr">
        <is>
          <t>PARTIAL</t>
        </is>
      </c>
      <c r="F112" t="inlineStr">
        <is>
          <t>WRONG_SOURCE_ANSWER</t>
        </is>
      </c>
      <c r="G112" t="inlineStr">
        <is>
          <t>Văn-bản-hợp-nhất-18-VBHN-VPQH_sec_250_chunk_250</t>
        </is>
      </c>
      <c r="H112" s="3" t="n">
        <v>0.91</v>
      </c>
      <c r="I112" s="3" t="n">
        <v>0</v>
      </c>
      <c r="J112" s="3" t="n">
        <v>0</v>
      </c>
      <c r="K112" t="n">
        <v>0</v>
      </c>
      <c r="L112" t="b">
        <v>1</v>
      </c>
    </row>
    <row r="113">
      <c r="A113" t="inlineStr">
        <is>
          <t>LAW_E_020</t>
        </is>
      </c>
      <c r="B113" t="inlineStr">
        <is>
          <t>E</t>
        </is>
      </c>
      <c r="C113" t="inlineStr">
        <is>
          <t>Scenario-based</t>
        </is>
      </c>
      <c r="D113" t="inlineStr">
        <is>
          <t>Hard</t>
        </is>
      </c>
      <c r="E113" t="inlineStr">
        <is>
          <t>PASS</t>
        </is>
      </c>
      <c r="F113" t="inlineStr">
        <is>
          <t>OK</t>
        </is>
      </c>
      <c r="G113" t="inlineStr">
        <is>
          <t>Văn-bản-hợp-nhất-18-VBHN-VPQH_sec_254_chunk_254</t>
        </is>
      </c>
      <c r="H113" s="3" t="n">
        <v>0.906</v>
      </c>
      <c r="I113" s="3" t="n">
        <v>1</v>
      </c>
      <c r="J113" s="3" t="n">
        <v>1</v>
      </c>
      <c r="K113" t="n">
        <v>1</v>
      </c>
      <c r="L113"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cols>
    <col width="32" customWidth="1" min="1" max="1"/>
  </cols>
  <sheetData>
    <row r="1">
      <c r="A1" s="8" t="inlineStr">
        <is>
          <t>RAGAS (100 câu đã chấm; judge gemini-3.5-flash-lite)</t>
        </is>
      </c>
    </row>
    <row r="2">
      <c r="A2" t="inlineStr">
        <is>
          <t>Faithfulness của câu từ chối = 0 theo RAGAS; dòng 'answered, not refused' loại các câu đó.</t>
        </is>
      </c>
    </row>
    <row r="3">
      <c r="A3" s="2" t="inlineStr">
        <is>
          <t>Scope</t>
        </is>
      </c>
      <c r="B3" s="2" t="inlineStr">
        <is>
          <t>n</t>
        </is>
      </c>
      <c r="C3" s="2" t="inlineStr">
        <is>
          <t>faithfulness</t>
        </is>
      </c>
      <c r="D3" s="2" t="inlineStr">
        <is>
          <t>answer_relevancy</t>
        </is>
      </c>
      <c r="E3" s="2" t="inlineStr">
        <is>
          <t>context_precision</t>
        </is>
      </c>
      <c r="F3" s="2" t="inlineStr">
        <is>
          <t>context_recall</t>
        </is>
      </c>
    </row>
    <row r="4">
      <c r="A4" t="inlineStr">
        <is>
          <t>ALL scored</t>
        </is>
      </c>
      <c r="B4" t="n">
        <v>100</v>
      </c>
      <c r="C4" s="9" t="n">
        <v>0.8729761904761905</v>
      </c>
      <c r="D4" s="9" t="n">
        <v>0.8538950803538305</v>
      </c>
      <c r="E4" s="9" t="n">
        <v>0.5844837261148025</v>
      </c>
      <c r="F4" s="9" t="n">
        <v>0.6288659793814433</v>
      </c>
    </row>
    <row r="5">
      <c r="A5" t="inlineStr">
        <is>
          <t>answered, not refused</t>
        </is>
      </c>
      <c r="B5" t="n">
        <v>75</v>
      </c>
      <c r="C5" s="9" t="n">
        <v>0.9429876060013046</v>
      </c>
      <c r="D5" s="9" t="n">
        <v>0.9335919545201881</v>
      </c>
      <c r="E5" s="9" t="n">
        <v>0.761674174128587</v>
      </c>
      <c r="F5" s="9" t="n">
        <v>0.8194444444444444</v>
      </c>
    </row>
    <row r="6">
      <c r="A6" t="inlineStr">
        <is>
          <t>giao trinh Luat lao dong CB 2005 (1)</t>
        </is>
      </c>
      <c r="B6" t="n">
        <v>20</v>
      </c>
      <c r="C6" s="9" t="n">
        <v>1</v>
      </c>
      <c r="D6" s="9" t="n">
        <v>0.8895791955404512</v>
      </c>
      <c r="E6" s="9" t="n">
        <v>0.7766666666115</v>
      </c>
      <c r="F6" s="9" t="n">
        <v>0.775</v>
      </c>
    </row>
    <row r="7">
      <c r="A7" t="inlineStr">
        <is>
          <t>so-tay-kien-thuc-phap-luat-lao-dong-cdi</t>
        </is>
      </c>
      <c r="B7" t="n">
        <v>20</v>
      </c>
      <c r="C7" s="9" t="n">
        <v>0.6974358974358974</v>
      </c>
      <c r="D7" s="9" t="n">
        <v>0.7988942362484998</v>
      </c>
      <c r="E7" s="9" t="n">
        <v>0.3458333333116389</v>
      </c>
      <c r="F7" s="9" t="n">
        <v>0.3</v>
      </c>
    </row>
    <row r="8">
      <c r="A8" t="inlineStr">
        <is>
          <t>luu-ban-nhap-tu-dong-3-4</t>
        </is>
      </c>
      <c r="B8" t="n">
        <v>20</v>
      </c>
      <c r="C8" s="9" t="n">
        <v>0.7461538461538461</v>
      </c>
      <c r="D8" s="9" t="n">
        <v>0.8126801764534145</v>
      </c>
      <c r="E8" s="9" t="n">
        <v>0.347499999970125</v>
      </c>
      <c r="F8" s="9" t="n">
        <v>0.45</v>
      </c>
    </row>
    <row r="9">
      <c r="A9" t="inlineStr">
        <is>
          <t>ILO-VCCI_Labour-Law-Guide-Book-V04-Final</t>
        </is>
      </c>
      <c r="B9" t="n">
        <v>20</v>
      </c>
      <c r="C9" s="9" t="n">
        <v>0.8348214285714286</v>
      </c>
      <c r="D9" s="9" t="n">
        <v>0.7683453916136028</v>
      </c>
      <c r="E9" s="9" t="n">
        <v>0.6221491227712078</v>
      </c>
      <c r="F9" s="9" t="n">
        <v>0.6764705882352942</v>
      </c>
    </row>
    <row r="10">
      <c r="A10" t="inlineStr">
        <is>
          <t>Văn-bản-hợp-nhất-18-VBHN-VPQH</t>
        </is>
      </c>
      <c r="B10" t="n">
        <v>20</v>
      </c>
      <c r="C10" s="9" t="n">
        <v>0.9849624060150376</v>
      </c>
      <c r="D10" s="9" t="n">
        <v>0.9552526425594714</v>
      </c>
      <c r="E10" s="9" t="n">
        <v>0.8321527777423604</v>
      </c>
      <c r="F10" s="9" t="n">
        <v>0.95</v>
      </c>
    </row>
    <row r="11">
      <c r="A11" t="inlineStr">
        <is>
          <t>Easy</t>
        </is>
      </c>
      <c r="B11" t="n">
        <v>35</v>
      </c>
      <c r="C11" s="9" t="n">
        <v>0.8586206896551724</v>
      </c>
      <c r="D11" s="9" t="n">
        <v>0.8360654966069652</v>
      </c>
      <c r="E11" s="9" t="n">
        <v>0.6771428570926349</v>
      </c>
      <c r="F11" s="9" t="n">
        <v>0.7205882352941176</v>
      </c>
    </row>
    <row r="12">
      <c r="A12" t="inlineStr">
        <is>
          <t>Medium</t>
        </is>
      </c>
      <c r="B12" t="n">
        <v>35</v>
      </c>
      <c r="C12" s="9" t="n">
        <v>0.8913419913419913</v>
      </c>
      <c r="D12" s="9" t="n">
        <v>0.9424222627202369</v>
      </c>
      <c r="E12" s="9" t="n">
        <v>0.6624183006190467</v>
      </c>
      <c r="F12" s="9" t="n">
        <v>0.7272727272727273</v>
      </c>
    </row>
    <row r="13">
      <c r="A13" t="inlineStr">
        <is>
          <t>Hard</t>
        </is>
      </c>
      <c r="B13" t="n">
        <v>30</v>
      </c>
      <c r="C13" s="9" t="n">
        <v>0.8624338624338626</v>
      </c>
      <c r="D13" s="9" t="n">
        <v>0.7223017513572446</v>
      </c>
      <c r="E13" s="9" t="n">
        <v>0.3880555555358541</v>
      </c>
      <c r="F13" s="9" t="n">
        <v>0.4166666666666667</v>
      </c>
    </row>
    <row r="14">
      <c r="A14" t="inlineStr">
        <is>
          <t>stage LLM_ANSWER</t>
        </is>
      </c>
      <c r="B14" t="n">
        <v>15</v>
      </c>
      <c r="C14" s="9" t="n">
        <v>0.9904761904761905</v>
      </c>
      <c r="D14" s="9" t="n">
        <v>0.9563304404085897</v>
      </c>
      <c r="E14" s="9" t="n">
        <v>0.8476190475822618</v>
      </c>
      <c r="F14" s="9" t="n">
        <v>0.9333333333333333</v>
      </c>
    </row>
    <row r="15">
      <c r="A15" t="inlineStr">
        <is>
          <t>stage NO_GOLD</t>
        </is>
      </c>
      <c r="B15" t="n">
        <v>5</v>
      </c>
      <c r="C15" s="9" t="n">
        <v>0</v>
      </c>
      <c r="D15" s="9" t="n">
        <v>0</v>
      </c>
      <c r="E15" s="9" t="n">
        <v>0.09999999999</v>
      </c>
      <c r="F15" s="9" t="n">
        <v>0.1</v>
      </c>
    </row>
    <row r="16">
      <c r="A16" t="inlineStr">
        <is>
          <t>stage OK</t>
        </is>
      </c>
      <c r="B16" t="n">
        <v>44</v>
      </c>
      <c r="C16" s="9" t="n">
        <v>0.9577097505668933</v>
      </c>
      <c r="D16" s="9" t="n">
        <v>0.9228608159009674</v>
      </c>
      <c r="E16" s="9" t="n">
        <v>0.844507575705494</v>
      </c>
      <c r="F16" s="9" t="n">
        <v>0.9146341463414634</v>
      </c>
    </row>
    <row r="17">
      <c r="A17" t="inlineStr">
        <is>
          <t>stage RERANK_DROP</t>
        </is>
      </c>
      <c r="B17" t="n">
        <v>4</v>
      </c>
      <c r="C17" s="9" t="n">
        <v>0.5</v>
      </c>
      <c r="D17" s="9" t="n">
        <v>0</v>
      </c>
      <c r="E17" s="9" t="n">
        <v>0</v>
      </c>
      <c r="F17" s="9" t="n">
        <v>0.125</v>
      </c>
    </row>
    <row r="18">
      <c r="A18" t="inlineStr">
        <is>
          <t>stage RETRIEVAL_MISS</t>
        </is>
      </c>
      <c r="B18" t="n">
        <v>7</v>
      </c>
      <c r="C18" s="9" t="n">
        <v>0</v>
      </c>
      <c r="D18" s="9" t="n">
        <v>0</v>
      </c>
      <c r="E18" s="9" t="n">
        <v>0</v>
      </c>
      <c r="F18" s="9" t="n">
        <v>0</v>
      </c>
    </row>
    <row r="19">
      <c r="A19" t="inlineStr">
        <is>
          <t>stage THRESHOLD_CUT</t>
        </is>
      </c>
      <c r="B19" t="n">
        <v>9</v>
      </c>
      <c r="C19" s="9" t="n">
        <v>0</v>
      </c>
      <c r="D19" s="9" t="n">
        <v>0</v>
      </c>
      <c r="E19" s="9" t="n">
        <v>0.1111111111</v>
      </c>
      <c r="F19" s="9" t="n">
        <v>0.1111111111111111</v>
      </c>
    </row>
    <row r="20">
      <c r="A20" t="inlineStr">
        <is>
          <t>stage WRONG_SOURCE_ANSWER</t>
        </is>
      </c>
      <c r="B20" t="n">
        <v>16</v>
      </c>
      <c r="C20" s="9" t="n">
        <v>0.8598214285714286</v>
      </c>
      <c r="D20" s="9" t="n">
        <v>0.9417852552026705</v>
      </c>
      <c r="E20" s="9" t="n">
        <v>0.4586805555201273</v>
      </c>
      <c r="F20" s="9" t="n">
        <v>0.46875</v>
      </c>
    </row>
    <row r="21"/>
    <row r="22">
      <c r="A22" s="2" t="inlineStr">
        <is>
          <t>ID</t>
        </is>
      </c>
      <c r="B22" s="2" t="inlineStr">
        <is>
          <t>Group</t>
        </is>
      </c>
      <c r="C22" s="2" t="inlineStr">
        <is>
          <t>Difficulty</t>
        </is>
      </c>
      <c r="D22" s="2" t="inlineStr">
        <is>
          <t>Status</t>
        </is>
      </c>
      <c r="E22" s="2" t="inlineStr">
        <is>
          <t>Stage</t>
        </is>
      </c>
      <c r="F22" s="2" t="inlineStr">
        <is>
          <t>faithfulness</t>
        </is>
      </c>
      <c r="G22" s="2" t="inlineStr">
        <is>
          <t>answer_relevancy</t>
        </is>
      </c>
      <c r="H22" s="2" t="inlineStr">
        <is>
          <t>context_precision</t>
        </is>
      </c>
      <c r="I22" s="2" t="inlineStr">
        <is>
          <t>context_recall</t>
        </is>
      </c>
      <c r="J22" s="2" t="inlineStr">
        <is>
          <t>Errors</t>
        </is>
      </c>
    </row>
    <row r="23">
      <c r="A23" t="inlineStr">
        <is>
          <t>LAW_A_001</t>
        </is>
      </c>
      <c r="B23" t="inlineStr">
        <is>
          <t>A</t>
        </is>
      </c>
      <c r="C23" t="inlineStr">
        <is>
          <t>Easy</t>
        </is>
      </c>
      <c r="D23" t="inlineStr">
        <is>
          <t>OK</t>
        </is>
      </c>
      <c r="E23" t="inlineStr">
        <is>
          <t>OK</t>
        </is>
      </c>
      <c r="F23" s="9" t="n">
        <v>1</v>
      </c>
      <c r="G23" s="9" t="n">
        <v>0.9908654469212843</v>
      </c>
      <c r="H23" s="9" t="n">
        <v>0.9999999999</v>
      </c>
      <c r="I23" s="9" t="n">
        <v>1</v>
      </c>
      <c r="J23" t="inlineStr"/>
    </row>
    <row r="24">
      <c r="A24" t="inlineStr">
        <is>
          <t>LAW_A_002</t>
        </is>
      </c>
      <c r="B24" t="inlineStr">
        <is>
          <t>A</t>
        </is>
      </c>
      <c r="C24" t="inlineStr">
        <is>
          <t>Easy</t>
        </is>
      </c>
      <c r="D24" t="inlineStr">
        <is>
          <t>OK</t>
        </is>
      </c>
      <c r="E24" t="inlineStr">
        <is>
          <t>OK</t>
        </is>
      </c>
      <c r="F24" s="9" t="n">
        <v>1</v>
      </c>
      <c r="G24" s="9" t="n">
        <v>0.9379089598514636</v>
      </c>
      <c r="H24" s="9" t="n">
        <v>0.3333333333</v>
      </c>
      <c r="I24" s="9" t="n">
        <v>1</v>
      </c>
      <c r="J24" t="inlineStr"/>
    </row>
    <row r="25">
      <c r="A25" t="inlineStr">
        <is>
          <t>LAW_A_003</t>
        </is>
      </c>
      <c r="B25" t="inlineStr">
        <is>
          <t>A</t>
        </is>
      </c>
      <c r="C25" t="inlineStr">
        <is>
          <t>Easy</t>
        </is>
      </c>
      <c r="D25" t="inlineStr">
        <is>
          <t>OK</t>
        </is>
      </c>
      <c r="E25" t="inlineStr">
        <is>
          <t>OK</t>
        </is>
      </c>
      <c r="F25" s="9" t="n">
        <v>1</v>
      </c>
      <c r="G25" s="9" t="n">
        <v>0.8839962368311048</v>
      </c>
      <c r="H25" s="9" t="n">
        <v>0.9999999999</v>
      </c>
      <c r="I25" s="9" t="n">
        <v>1</v>
      </c>
      <c r="J25" t="inlineStr"/>
    </row>
    <row r="26">
      <c r="A26" t="inlineStr">
        <is>
          <t>LAW_A_004</t>
        </is>
      </c>
      <c r="B26" t="inlineStr">
        <is>
          <t>A</t>
        </is>
      </c>
      <c r="C26" t="inlineStr">
        <is>
          <t>Easy</t>
        </is>
      </c>
      <c r="D26" t="inlineStr">
        <is>
          <t>OK</t>
        </is>
      </c>
      <c r="E26" t="inlineStr">
        <is>
          <t>OK</t>
        </is>
      </c>
      <c r="F26" s="9" t="n">
        <v>1</v>
      </c>
      <c r="G26" s="9" t="n">
        <v>0.9950734026120954</v>
      </c>
      <c r="H26" s="9" t="n">
        <v>0.49999999995</v>
      </c>
      <c r="I26" s="9" t="n">
        <v>1</v>
      </c>
      <c r="J26" t="inlineStr"/>
    </row>
    <row r="27">
      <c r="A27" t="inlineStr">
        <is>
          <t>LAW_A_005</t>
        </is>
      </c>
      <c r="B27" t="inlineStr">
        <is>
          <t>A</t>
        </is>
      </c>
      <c r="C27" t="inlineStr">
        <is>
          <t>Easy</t>
        </is>
      </c>
      <c r="D27" t="inlineStr">
        <is>
          <t>OK</t>
        </is>
      </c>
      <c r="E27" t="inlineStr">
        <is>
          <t>OK</t>
        </is>
      </c>
      <c r="F27" s="9" t="n">
        <v>1</v>
      </c>
      <c r="G27" s="9" t="n">
        <v>0.9969629102534957</v>
      </c>
      <c r="H27" s="9" t="n">
        <v>0.9999999999</v>
      </c>
      <c r="I27" s="9" t="n">
        <v>1</v>
      </c>
      <c r="J27" t="inlineStr"/>
    </row>
    <row r="28">
      <c r="A28" t="inlineStr">
        <is>
          <t>LAW_A_006</t>
        </is>
      </c>
      <c r="B28" t="inlineStr">
        <is>
          <t>A</t>
        </is>
      </c>
      <c r="C28" t="inlineStr">
        <is>
          <t>Easy</t>
        </is>
      </c>
      <c r="D28" t="inlineStr">
        <is>
          <t>OK</t>
        </is>
      </c>
      <c r="E28" t="inlineStr">
        <is>
          <t>OK</t>
        </is>
      </c>
      <c r="F28" s="9" t="n">
        <v>1</v>
      </c>
      <c r="G28" s="9" t="n">
        <v>0.9643996822920511</v>
      </c>
      <c r="H28" s="9" t="n">
        <v>0.9999999999</v>
      </c>
      <c r="I28" s="9" t="n">
        <v>1</v>
      </c>
      <c r="J28" t="inlineStr"/>
    </row>
    <row r="29">
      <c r="A29" t="inlineStr">
        <is>
          <t>LAW_A_007</t>
        </is>
      </c>
      <c r="B29" t="inlineStr">
        <is>
          <t>A</t>
        </is>
      </c>
      <c r="C29" t="inlineStr">
        <is>
          <t>Easy</t>
        </is>
      </c>
      <c r="D29" t="inlineStr">
        <is>
          <t>OK</t>
        </is>
      </c>
      <c r="E29" t="inlineStr">
        <is>
          <t>WRONG_SOURCE_ANSWER</t>
        </is>
      </c>
      <c r="F29" s="9" t="n">
        <v>1</v>
      </c>
      <c r="G29" s="9" t="n">
        <v>0.9205253988631835</v>
      </c>
      <c r="H29" s="9" t="n">
        <v>0.49999999995</v>
      </c>
      <c r="I29" s="9" t="n">
        <v>0</v>
      </c>
      <c r="J29" t="inlineStr"/>
    </row>
    <row r="30">
      <c r="A30" t="inlineStr">
        <is>
          <t>LAW_A_008</t>
        </is>
      </c>
      <c r="B30" t="inlineStr">
        <is>
          <t>A</t>
        </is>
      </c>
      <c r="C30" t="inlineStr">
        <is>
          <t>Medium</t>
        </is>
      </c>
      <c r="D30" t="inlineStr">
        <is>
          <t>OK</t>
        </is>
      </c>
      <c r="E30" t="inlineStr">
        <is>
          <t>OK</t>
        </is>
      </c>
      <c r="F30" s="9" t="n">
        <v>1</v>
      </c>
      <c r="G30" s="9" t="n">
        <v>0.9280667892005867</v>
      </c>
      <c r="H30" s="9" t="n">
        <v>0.99999999998</v>
      </c>
      <c r="I30" s="9" t="n">
        <v>1</v>
      </c>
      <c r="J30" t="inlineStr"/>
    </row>
    <row r="31">
      <c r="A31" t="inlineStr">
        <is>
          <t>LAW_A_009</t>
        </is>
      </c>
      <c r="B31" t="inlineStr">
        <is>
          <t>A</t>
        </is>
      </c>
      <c r="C31" t="inlineStr">
        <is>
          <t>Medium</t>
        </is>
      </c>
      <c r="D31" t="inlineStr">
        <is>
          <t>OK</t>
        </is>
      </c>
      <c r="E31" t="inlineStr">
        <is>
          <t>LLM_ANSWER</t>
        </is>
      </c>
      <c r="F31" s="9" t="n">
        <v>1</v>
      </c>
      <c r="G31" s="9" t="n">
        <v>0.9475145611661693</v>
      </c>
      <c r="H31" s="9" t="n">
        <v>0.99999999998</v>
      </c>
      <c r="I31" s="9" t="n">
        <v>1</v>
      </c>
      <c r="J31" t="inlineStr"/>
    </row>
    <row r="32">
      <c r="A32" t="inlineStr">
        <is>
          <t>LAW_A_010</t>
        </is>
      </c>
      <c r="B32" t="inlineStr">
        <is>
          <t>A</t>
        </is>
      </c>
      <c r="C32" t="inlineStr">
        <is>
          <t>Medium</t>
        </is>
      </c>
      <c r="D32" t="inlineStr">
        <is>
          <t>OK</t>
        </is>
      </c>
      <c r="E32" t="inlineStr">
        <is>
          <t>OK</t>
        </is>
      </c>
      <c r="F32" s="9" t="n">
        <v>1</v>
      </c>
      <c r="G32" s="9" t="n">
        <v>0.9529657740339977</v>
      </c>
      <c r="H32" s="9" t="n">
        <v>0.99999999998</v>
      </c>
      <c r="I32" s="9" t="n">
        <v>1</v>
      </c>
      <c r="J32" t="inlineStr"/>
    </row>
    <row r="33">
      <c r="A33" t="inlineStr">
        <is>
          <t>LAW_A_011</t>
        </is>
      </c>
      <c r="B33" t="inlineStr">
        <is>
          <t>A</t>
        </is>
      </c>
      <c r="C33" t="inlineStr">
        <is>
          <t>Medium</t>
        </is>
      </c>
      <c r="D33" t="inlineStr">
        <is>
          <t>OK</t>
        </is>
      </c>
      <c r="E33" t="inlineStr">
        <is>
          <t>WRONG_SOURCE_ANSWER</t>
        </is>
      </c>
      <c r="F33" s="9" t="n">
        <v>1</v>
      </c>
      <c r="G33" s="9" t="n">
        <v>0.9151151721163794</v>
      </c>
      <c r="H33" s="9" t="n">
        <v>0</v>
      </c>
      <c r="I33" s="9" t="n">
        <v>0</v>
      </c>
      <c r="J33" t="inlineStr"/>
    </row>
    <row r="34">
      <c r="A34" t="inlineStr">
        <is>
          <t>LAW_A_012</t>
        </is>
      </c>
      <c r="B34" t="inlineStr">
        <is>
          <t>A</t>
        </is>
      </c>
      <c r="C34" t="inlineStr">
        <is>
          <t>Medium</t>
        </is>
      </c>
      <c r="D34" t="inlineStr">
        <is>
          <t>OK</t>
        </is>
      </c>
      <c r="E34" t="inlineStr">
        <is>
          <t>OK</t>
        </is>
      </c>
      <c r="F34" s="9" t="n">
        <v>1</v>
      </c>
      <c r="G34" s="9" t="n">
        <v>0.9525796824569781</v>
      </c>
      <c r="H34" s="9" t="n">
        <v>0.99999999995</v>
      </c>
      <c r="I34" s="9" t="n">
        <v>1</v>
      </c>
      <c r="J34" t="inlineStr"/>
    </row>
    <row r="35">
      <c r="A35" t="inlineStr">
        <is>
          <t>LAW_A_013</t>
        </is>
      </c>
      <c r="B35" t="inlineStr">
        <is>
          <t>A</t>
        </is>
      </c>
      <c r="C35" t="inlineStr">
        <is>
          <t>Medium</t>
        </is>
      </c>
      <c r="D35" t="inlineStr">
        <is>
          <t>OK</t>
        </is>
      </c>
      <c r="E35" t="inlineStr">
        <is>
          <t>OK</t>
        </is>
      </c>
      <c r="F35" s="9" t="n">
        <v>1</v>
      </c>
      <c r="G35" s="9" t="n">
        <v>0.9716657876186646</v>
      </c>
      <c r="H35" s="9" t="n">
        <v>0.9999999999</v>
      </c>
      <c r="I35" s="9" t="n">
        <v>1</v>
      </c>
      <c r="J35" t="inlineStr"/>
    </row>
    <row r="36">
      <c r="A36" t="inlineStr">
        <is>
          <t>LAW_A_014</t>
        </is>
      </c>
      <c r="B36" t="inlineStr">
        <is>
          <t>A</t>
        </is>
      </c>
      <c r="C36" t="inlineStr">
        <is>
          <t>Medium</t>
        </is>
      </c>
      <c r="D36" t="inlineStr">
        <is>
          <t>OK</t>
        </is>
      </c>
      <c r="E36" t="inlineStr">
        <is>
          <t>OK</t>
        </is>
      </c>
      <c r="F36" s="9" t="n">
        <v>1</v>
      </c>
      <c r="G36" s="9" t="n">
        <v>0.9150162060372466</v>
      </c>
      <c r="H36" s="9" t="n">
        <v>0.99999999995</v>
      </c>
      <c r="I36" s="9" t="n">
        <v>1</v>
      </c>
      <c r="J36" t="inlineStr"/>
    </row>
    <row r="37">
      <c r="A37" t="inlineStr">
        <is>
          <t>LAW_A_015</t>
        </is>
      </c>
      <c r="B37" t="inlineStr">
        <is>
          <t>A</t>
        </is>
      </c>
      <c r="C37" t="inlineStr">
        <is>
          <t>Hard</t>
        </is>
      </c>
      <c r="D37" t="inlineStr">
        <is>
          <t>OK</t>
        </is>
      </c>
      <c r="E37" t="inlineStr">
        <is>
          <t>OK</t>
        </is>
      </c>
      <c r="F37" s="9" t="n">
        <v>1</v>
      </c>
      <c r="G37" s="9" t="n">
        <v>0.8937997853231693</v>
      </c>
      <c r="H37" s="9" t="n">
        <v>0.99999999995</v>
      </c>
      <c r="I37" s="9" t="n">
        <v>1</v>
      </c>
      <c r="J37" t="inlineStr"/>
    </row>
    <row r="38">
      <c r="A38" t="inlineStr">
        <is>
          <t>LAW_A_016</t>
        </is>
      </c>
      <c r="B38" t="inlineStr">
        <is>
          <t>A</t>
        </is>
      </c>
      <c r="C38" t="inlineStr">
        <is>
          <t>Hard</t>
        </is>
      </c>
      <c r="D38" t="inlineStr">
        <is>
          <t>OK</t>
        </is>
      </c>
      <c r="E38" t="inlineStr">
        <is>
          <t>OK</t>
        </is>
      </c>
      <c r="F38" s="9" t="n">
        <v>1</v>
      </c>
      <c r="G38" s="9" t="n">
        <v>0</v>
      </c>
      <c r="H38" s="9" t="n">
        <v>0.8333333332916666</v>
      </c>
      <c r="I38" s="9" t="n">
        <v>0.5</v>
      </c>
      <c r="J38" t="inlineStr"/>
    </row>
    <row r="39">
      <c r="A39" t="inlineStr">
        <is>
          <t>LAW_A_017</t>
        </is>
      </c>
      <c r="B39" t="inlineStr">
        <is>
          <t>A</t>
        </is>
      </c>
      <c r="C39" t="inlineStr">
        <is>
          <t>Hard</t>
        </is>
      </c>
      <c r="D39" t="inlineStr">
        <is>
          <t>OK</t>
        </is>
      </c>
      <c r="E39" t="inlineStr">
        <is>
          <t>WRONG_SOURCE_ANSWER</t>
        </is>
      </c>
      <c r="F39" s="9" t="n">
        <v>1</v>
      </c>
      <c r="G39" s="9" t="n">
        <v>0.9075597466250729</v>
      </c>
      <c r="H39" s="9" t="n">
        <v>0.9999999999</v>
      </c>
      <c r="I39" s="9" t="n">
        <v>0</v>
      </c>
      <c r="J39" t="inlineStr"/>
    </row>
    <row r="40">
      <c r="A40" t="inlineStr">
        <is>
          <t>LAW_A_018</t>
        </is>
      </c>
      <c r="B40" t="inlineStr">
        <is>
          <t>A</t>
        </is>
      </c>
      <c r="C40" t="inlineStr">
        <is>
          <t>Hard</t>
        </is>
      </c>
      <c r="D40" t="inlineStr">
        <is>
          <t>OK</t>
        </is>
      </c>
      <c r="E40" t="inlineStr">
        <is>
          <t>OK</t>
        </is>
      </c>
      <c r="F40" s="9" t="n">
        <v>1</v>
      </c>
      <c r="G40" s="9" t="n">
        <v>0.8985186266921908</v>
      </c>
      <c r="H40" s="9" t="n">
        <v>0.9999999999</v>
      </c>
      <c r="I40" s="9" t="n">
        <v>1</v>
      </c>
      <c r="J40" t="inlineStr"/>
    </row>
    <row r="41">
      <c r="A41" t="inlineStr">
        <is>
          <t>LAW_A_019</t>
        </is>
      </c>
      <c r="B41" t="inlineStr">
        <is>
          <t>A</t>
        </is>
      </c>
      <c r="C41" t="inlineStr">
        <is>
          <t>Hard</t>
        </is>
      </c>
      <c r="D41" t="inlineStr">
        <is>
          <t>NO_CONTEXT</t>
        </is>
      </c>
      <c r="E41" t="inlineStr">
        <is>
          <t>NO_GOLD</t>
        </is>
      </c>
      <c r="H41" s="9" t="n">
        <v>0</v>
      </c>
      <c r="I41" s="9" t="n">
        <v>0</v>
      </c>
      <c r="J41" t="inlineStr"/>
    </row>
    <row r="42">
      <c r="A42" t="inlineStr">
        <is>
          <t>LAW_A_020</t>
        </is>
      </c>
      <c r="B42" t="inlineStr">
        <is>
          <t>A</t>
        </is>
      </c>
      <c r="C42" t="inlineStr">
        <is>
          <t>Hard</t>
        </is>
      </c>
      <c r="D42" t="inlineStr">
        <is>
          <t>OK</t>
        </is>
      </c>
      <c r="E42" t="inlineStr">
        <is>
          <t>LLM_ANSWER</t>
        </is>
      </c>
      <c r="F42" s="9" t="n">
        <v>1</v>
      </c>
      <c r="G42" s="9" t="n">
        <v>0.9294705463734323</v>
      </c>
      <c r="H42" s="9" t="n">
        <v>0.3666666666483334</v>
      </c>
      <c r="I42" s="9" t="n">
        <v>1</v>
      </c>
      <c r="J42" t="inlineStr"/>
    </row>
    <row r="43">
      <c r="A43" t="inlineStr">
        <is>
          <t>LAW_B_001</t>
        </is>
      </c>
      <c r="B43" t="inlineStr">
        <is>
          <t>B</t>
        </is>
      </c>
      <c r="C43" t="inlineStr">
        <is>
          <t>Easy</t>
        </is>
      </c>
      <c r="D43" t="inlineStr">
        <is>
          <t>OK</t>
        </is>
      </c>
      <c r="E43" t="inlineStr">
        <is>
          <t>OK</t>
        </is>
      </c>
      <c r="F43" s="9" t="n">
        <v>1</v>
      </c>
      <c r="G43" s="9" t="n">
        <v>0.965783964635696</v>
      </c>
      <c r="H43" s="9" t="n">
        <v>0.9166666666361111</v>
      </c>
      <c r="I43" s="9" t="n">
        <v>1</v>
      </c>
      <c r="J43" t="inlineStr"/>
    </row>
    <row r="44">
      <c r="A44" t="inlineStr">
        <is>
          <t>LAW_B_002</t>
        </is>
      </c>
      <c r="B44" t="inlineStr">
        <is>
          <t>B</t>
        </is>
      </c>
      <c r="C44" t="inlineStr">
        <is>
          <t>Easy</t>
        </is>
      </c>
      <c r="D44" t="inlineStr">
        <is>
          <t>OK</t>
        </is>
      </c>
      <c r="E44" t="inlineStr">
        <is>
          <t>WRONG_SOURCE_ANSWER</t>
        </is>
      </c>
      <c r="F44" s="9" t="n">
        <v>0.9</v>
      </c>
      <c r="G44" s="9" t="n">
        <v>0.964524376612932</v>
      </c>
      <c r="H44" s="9" t="n">
        <v>0.9999999999</v>
      </c>
      <c r="I44" s="9" t="n">
        <v>0</v>
      </c>
      <c r="J44" t="inlineStr"/>
    </row>
    <row r="45">
      <c r="A45" t="inlineStr">
        <is>
          <t>LAW_B_003</t>
        </is>
      </c>
      <c r="B45" t="inlineStr">
        <is>
          <t>B</t>
        </is>
      </c>
      <c r="C45" t="inlineStr">
        <is>
          <t>Easy</t>
        </is>
      </c>
      <c r="D45" t="inlineStr">
        <is>
          <t>OK</t>
        </is>
      </c>
      <c r="E45" t="inlineStr">
        <is>
          <t>OK</t>
        </is>
      </c>
      <c r="F45" s="9" t="n">
        <v>1</v>
      </c>
      <c r="G45" s="9" t="n">
        <v>0.9051336444652177</v>
      </c>
      <c r="H45" s="9" t="n">
        <v>0</v>
      </c>
      <c r="I45" s="9" t="n">
        <v>0</v>
      </c>
      <c r="J45" t="inlineStr"/>
    </row>
    <row r="46">
      <c r="A46" t="inlineStr">
        <is>
          <t>LAW_B_004</t>
        </is>
      </c>
      <c r="B46" t="inlineStr">
        <is>
          <t>B</t>
        </is>
      </c>
      <c r="C46" t="inlineStr">
        <is>
          <t>Easy</t>
        </is>
      </c>
      <c r="D46" t="inlineStr">
        <is>
          <t>OK</t>
        </is>
      </c>
      <c r="E46" t="inlineStr">
        <is>
          <t>RETRIEVAL_MISS</t>
        </is>
      </c>
      <c r="F46" s="9" t="n">
        <v>0</v>
      </c>
      <c r="G46" s="9" t="n">
        <v>0</v>
      </c>
      <c r="H46" s="9" t="n">
        <v>0</v>
      </c>
      <c r="I46" s="9" t="n">
        <v>0</v>
      </c>
      <c r="J46" t="inlineStr"/>
    </row>
    <row r="47">
      <c r="A47" t="inlineStr">
        <is>
          <t>LAW_B_005</t>
        </is>
      </c>
      <c r="B47" t="inlineStr">
        <is>
          <t>B</t>
        </is>
      </c>
      <c r="C47" t="inlineStr">
        <is>
          <t>Easy</t>
        </is>
      </c>
      <c r="D47" t="inlineStr">
        <is>
          <t>OK</t>
        </is>
      </c>
      <c r="E47" t="inlineStr">
        <is>
          <t>OK</t>
        </is>
      </c>
      <c r="F47" s="9" t="n">
        <v>1</v>
      </c>
      <c r="G47" s="9" t="n">
        <v>0.9912894799343068</v>
      </c>
      <c r="H47" s="9" t="n">
        <v>0.9999999999</v>
      </c>
      <c r="I47" s="9" t="n">
        <v>1</v>
      </c>
      <c r="J47" t="inlineStr"/>
    </row>
    <row r="48">
      <c r="A48" t="inlineStr">
        <is>
          <t>LAW_B_006</t>
        </is>
      </c>
      <c r="B48" t="inlineStr">
        <is>
          <t>B</t>
        </is>
      </c>
      <c r="C48" t="inlineStr">
        <is>
          <t>Easy</t>
        </is>
      </c>
      <c r="D48" t="inlineStr">
        <is>
          <t>NO_CONTEXT</t>
        </is>
      </c>
      <c r="E48" t="inlineStr">
        <is>
          <t>RETRIEVAL_MISS</t>
        </is>
      </c>
      <c r="H48" s="9" t="n">
        <v>0</v>
      </c>
      <c r="I48" s="9" t="n">
        <v>0</v>
      </c>
      <c r="J48" t="inlineStr"/>
    </row>
    <row r="49">
      <c r="A49" t="inlineStr">
        <is>
          <t>LAW_B_007</t>
        </is>
      </c>
      <c r="B49" t="inlineStr">
        <is>
          <t>B</t>
        </is>
      </c>
      <c r="C49" t="inlineStr">
        <is>
          <t>Easy</t>
        </is>
      </c>
      <c r="D49" t="inlineStr">
        <is>
          <t>OK</t>
        </is>
      </c>
      <c r="E49" t="inlineStr">
        <is>
          <t>RETRIEVAL_MISS</t>
        </is>
      </c>
      <c r="F49" s="9" t="n">
        <v>0</v>
      </c>
      <c r="G49" s="9" t="n">
        <v>0</v>
      </c>
      <c r="H49" s="9" t="n">
        <v>0</v>
      </c>
      <c r="I49" s="9" t="n">
        <v>0</v>
      </c>
      <c r="J49" t="inlineStr"/>
    </row>
    <row r="50">
      <c r="A50" t="inlineStr">
        <is>
          <t>LAW_B_008</t>
        </is>
      </c>
      <c r="B50" t="inlineStr">
        <is>
          <t>B</t>
        </is>
      </c>
      <c r="C50" t="inlineStr">
        <is>
          <t>Medium</t>
        </is>
      </c>
      <c r="D50" t="inlineStr">
        <is>
          <t>OK</t>
        </is>
      </c>
      <c r="E50" t="inlineStr">
        <is>
          <t>LLM_ANSWER</t>
        </is>
      </c>
      <c r="F50" s="9" t="n">
        <v>1</v>
      </c>
      <c r="G50" s="9" t="n">
        <v>0.933375600344581</v>
      </c>
      <c r="H50" s="9" t="n">
        <v>0.99999999998</v>
      </c>
      <c r="I50" s="9" t="n">
        <v>1</v>
      </c>
      <c r="J50" t="inlineStr"/>
    </row>
    <row r="51">
      <c r="A51" t="inlineStr">
        <is>
          <t>LAW_B_009</t>
        </is>
      </c>
      <c r="B51" t="inlineStr">
        <is>
          <t>B</t>
        </is>
      </c>
      <c r="C51" t="inlineStr">
        <is>
          <t>Medium</t>
        </is>
      </c>
      <c r="D51" t="inlineStr">
        <is>
          <t>OK</t>
        </is>
      </c>
      <c r="E51" t="inlineStr">
        <is>
          <t>OK</t>
        </is>
      </c>
      <c r="F51" s="9" t="n">
        <v>1</v>
      </c>
      <c r="G51" s="9" t="n">
        <v>0.914200081148026</v>
      </c>
      <c r="H51" s="9" t="n">
        <v>0.99999999995</v>
      </c>
      <c r="I51" s="9" t="n">
        <v>1</v>
      </c>
      <c r="J51" t="inlineStr"/>
    </row>
    <row r="52">
      <c r="A52" t="inlineStr">
        <is>
          <t>LAW_B_010</t>
        </is>
      </c>
      <c r="B52" t="inlineStr">
        <is>
          <t>B</t>
        </is>
      </c>
      <c r="C52" t="inlineStr">
        <is>
          <t>Medium</t>
        </is>
      </c>
      <c r="D52" t="inlineStr">
        <is>
          <t>OK</t>
        </is>
      </c>
      <c r="E52" t="inlineStr">
        <is>
          <t>WRONG_SOURCE_ANSWER</t>
        </is>
      </c>
      <c r="F52" s="9" t="n">
        <v>0.5</v>
      </c>
      <c r="G52" s="9" t="n">
        <v>0.9234234589601359</v>
      </c>
      <c r="H52" s="9" t="n">
        <v>0</v>
      </c>
      <c r="I52" s="9" t="n">
        <v>0</v>
      </c>
      <c r="J52" t="inlineStr"/>
    </row>
    <row r="53">
      <c r="A53" t="inlineStr">
        <is>
          <t>LAW_B_011</t>
        </is>
      </c>
      <c r="B53" t="inlineStr">
        <is>
          <t>B</t>
        </is>
      </c>
      <c r="C53" t="inlineStr">
        <is>
          <t>Medium</t>
        </is>
      </c>
      <c r="D53" t="inlineStr">
        <is>
          <t>OK</t>
        </is>
      </c>
      <c r="E53" t="inlineStr">
        <is>
          <t>WRONG_SOURCE_ANSWER</t>
        </is>
      </c>
      <c r="F53" s="9" t="n">
        <v>1</v>
      </c>
      <c r="G53" s="9" t="n">
        <v>0.937301775692535</v>
      </c>
      <c r="H53" s="9" t="n">
        <v>0</v>
      </c>
      <c r="I53" s="9" t="n">
        <v>0</v>
      </c>
      <c r="J53" t="inlineStr"/>
    </row>
    <row r="54">
      <c r="A54" t="inlineStr">
        <is>
          <t>LAW_B_012</t>
        </is>
      </c>
      <c r="B54" t="inlineStr">
        <is>
          <t>B</t>
        </is>
      </c>
      <c r="C54" t="inlineStr">
        <is>
          <t>Medium</t>
        </is>
      </c>
      <c r="D54" t="inlineStr">
        <is>
          <t>OK</t>
        </is>
      </c>
      <c r="E54" t="inlineStr">
        <is>
          <t>OK</t>
        </is>
      </c>
      <c r="F54" s="9" t="n">
        <v>1</v>
      </c>
      <c r="G54" s="9" t="n">
        <v>0.9366312624130085</v>
      </c>
      <c r="H54" s="9" t="n">
        <v>0.9999999999</v>
      </c>
      <c r="I54" s="9" t="n">
        <v>1</v>
      </c>
      <c r="J54" t="inlineStr"/>
    </row>
    <row r="55">
      <c r="A55" t="inlineStr">
        <is>
          <t>LAW_B_013</t>
        </is>
      </c>
      <c r="B55" t="inlineStr">
        <is>
          <t>B</t>
        </is>
      </c>
      <c r="C55" t="inlineStr">
        <is>
          <t>Medium</t>
        </is>
      </c>
      <c r="D55" t="inlineStr">
        <is>
          <t>OK</t>
        </is>
      </c>
      <c r="E55" t="inlineStr">
        <is>
          <t>WRONG_SOURCE_ANSWER</t>
        </is>
      </c>
      <c r="F55" s="9" t="n">
        <v>0</v>
      </c>
      <c r="G55" s="9" t="n">
        <v>0.9514021302610787</v>
      </c>
      <c r="H55" s="9" t="n">
        <v>0</v>
      </c>
      <c r="I55" s="9" t="n">
        <v>0</v>
      </c>
      <c r="J55" t="inlineStr"/>
    </row>
    <row r="56">
      <c r="A56" t="inlineStr">
        <is>
          <t>LAW_B_014</t>
        </is>
      </c>
      <c r="B56" t="inlineStr">
        <is>
          <t>B</t>
        </is>
      </c>
      <c r="C56" t="inlineStr">
        <is>
          <t>Medium</t>
        </is>
      </c>
      <c r="D56" t="inlineStr">
        <is>
          <t>NO_CONTEXT</t>
        </is>
      </c>
      <c r="E56" t="inlineStr">
        <is>
          <t>RETRIEVAL_MISS</t>
        </is>
      </c>
      <c r="H56" s="9" t="n">
        <v>0</v>
      </c>
      <c r="I56" s="9" t="n">
        <v>0</v>
      </c>
      <c r="J56" t="inlineStr"/>
    </row>
    <row r="57">
      <c r="A57" t="inlineStr">
        <is>
          <t>LAW_B_015</t>
        </is>
      </c>
      <c r="B57" t="inlineStr">
        <is>
          <t>B</t>
        </is>
      </c>
      <c r="C57" t="inlineStr">
        <is>
          <t>Hard</t>
        </is>
      </c>
      <c r="D57" t="inlineStr">
        <is>
          <t>NO_CONTEXT</t>
        </is>
      </c>
      <c r="E57" t="inlineStr">
        <is>
          <t>RETRIEVAL_MISS</t>
        </is>
      </c>
      <c r="H57" s="9" t="n">
        <v>0</v>
      </c>
      <c r="I57" s="9" t="n">
        <v>0</v>
      </c>
      <c r="J57" t="inlineStr"/>
    </row>
    <row r="58">
      <c r="A58" t="inlineStr">
        <is>
          <t>LAW_B_016</t>
        </is>
      </c>
      <c r="B58" t="inlineStr">
        <is>
          <t>B</t>
        </is>
      </c>
      <c r="C58" t="inlineStr">
        <is>
          <t>Hard</t>
        </is>
      </c>
      <c r="D58" t="inlineStr">
        <is>
          <t>NO_CONTEXT</t>
        </is>
      </c>
      <c r="E58" t="inlineStr">
        <is>
          <t>THRESHOLD_CUT</t>
        </is>
      </c>
      <c r="H58" s="9" t="n">
        <v>0</v>
      </c>
      <c r="I58" s="9" t="n">
        <v>0</v>
      </c>
      <c r="J58" t="inlineStr"/>
    </row>
    <row r="59">
      <c r="A59" t="inlineStr">
        <is>
          <t>LAW_B_017</t>
        </is>
      </c>
      <c r="B59" t="inlineStr">
        <is>
          <t>B</t>
        </is>
      </c>
      <c r="C59" t="inlineStr">
        <is>
          <t>Hard</t>
        </is>
      </c>
      <c r="D59" t="inlineStr">
        <is>
          <t>OK</t>
        </is>
      </c>
      <c r="E59" t="inlineStr">
        <is>
          <t>OK</t>
        </is>
      </c>
      <c r="F59" s="9" t="n">
        <v>0.6666666666666666</v>
      </c>
      <c r="G59" s="9" t="n">
        <v>0.9625592967629798</v>
      </c>
      <c r="H59" s="9" t="n">
        <v>0.9999999999666667</v>
      </c>
      <c r="I59" s="9" t="n">
        <v>1</v>
      </c>
      <c r="J59" t="inlineStr"/>
    </row>
    <row r="60">
      <c r="A60" t="inlineStr">
        <is>
          <t>LAW_B_018</t>
        </is>
      </c>
      <c r="B60" t="inlineStr">
        <is>
          <t>B</t>
        </is>
      </c>
      <c r="C60" t="inlineStr">
        <is>
          <t>Hard</t>
        </is>
      </c>
      <c r="D60" t="inlineStr">
        <is>
          <t>NO_CONTEXT</t>
        </is>
      </c>
      <c r="E60" t="inlineStr">
        <is>
          <t>NO_GOLD</t>
        </is>
      </c>
      <c r="H60" s="9" t="n">
        <v>0</v>
      </c>
      <c r="I60" s="9" t="n">
        <v>0</v>
      </c>
      <c r="J60" t="inlineStr"/>
    </row>
    <row r="61">
      <c r="A61" t="inlineStr">
        <is>
          <t>LAW_B_019</t>
        </is>
      </c>
      <c r="B61" t="inlineStr">
        <is>
          <t>B</t>
        </is>
      </c>
      <c r="C61" t="inlineStr">
        <is>
          <t>Hard</t>
        </is>
      </c>
      <c r="D61" t="inlineStr">
        <is>
          <t>NO_CONTEXT</t>
        </is>
      </c>
      <c r="E61" t="inlineStr">
        <is>
          <t>THRESHOLD_CUT</t>
        </is>
      </c>
      <c r="H61" s="9" t="n">
        <v>0</v>
      </c>
      <c r="I61" s="9" t="n">
        <v>0</v>
      </c>
      <c r="J61" t="inlineStr"/>
    </row>
    <row r="62">
      <c r="A62" t="inlineStr">
        <is>
          <t>LAW_B_020</t>
        </is>
      </c>
      <c r="B62" t="inlineStr">
        <is>
          <t>B</t>
        </is>
      </c>
      <c r="C62" t="inlineStr">
        <is>
          <t>Hard</t>
        </is>
      </c>
      <c r="D62" t="inlineStr">
        <is>
          <t>NO_CONTEXT</t>
        </is>
      </c>
      <c r="E62" t="inlineStr">
        <is>
          <t>THRESHOLD_CUT</t>
        </is>
      </c>
      <c r="H62" s="9" t="n">
        <v>0</v>
      </c>
      <c r="I62" s="9" t="n">
        <v>0</v>
      </c>
      <c r="J62" t="inlineStr"/>
    </row>
    <row r="63">
      <c r="A63" t="inlineStr">
        <is>
          <t>LAW_C_001</t>
        </is>
      </c>
      <c r="B63" t="inlineStr">
        <is>
          <t>C</t>
        </is>
      </c>
      <c r="C63" t="inlineStr">
        <is>
          <t>Easy</t>
        </is>
      </c>
      <c r="D63" t="inlineStr">
        <is>
          <t>OK</t>
        </is>
      </c>
      <c r="E63" t="inlineStr">
        <is>
          <t>LLM_ANSWER</t>
        </is>
      </c>
      <c r="F63" s="9" t="n">
        <v>1</v>
      </c>
      <c r="G63" s="9" t="n">
        <v>0.9985790991853478</v>
      </c>
      <c r="H63" s="9" t="n">
        <v>0.9999999999</v>
      </c>
      <c r="I63" s="9" t="n">
        <v>1</v>
      </c>
      <c r="J63" t="inlineStr"/>
    </row>
    <row r="64">
      <c r="A64" t="inlineStr">
        <is>
          <t>LAW_C_002</t>
        </is>
      </c>
      <c r="B64" t="inlineStr">
        <is>
          <t>C</t>
        </is>
      </c>
      <c r="C64" t="inlineStr">
        <is>
          <t>Easy</t>
        </is>
      </c>
      <c r="D64" t="inlineStr">
        <is>
          <t>NO_CONTEXT</t>
        </is>
      </c>
      <c r="E64" t="inlineStr">
        <is>
          <t>THRESHOLD_CUT</t>
        </is>
      </c>
      <c r="H64" s="9" t="n">
        <v>0</v>
      </c>
      <c r="I64" s="9" t="n">
        <v>0</v>
      </c>
      <c r="J64" t="inlineStr"/>
    </row>
    <row r="65">
      <c r="A65" t="inlineStr">
        <is>
          <t>LAW_C_003</t>
        </is>
      </c>
      <c r="B65" t="inlineStr">
        <is>
          <t>C</t>
        </is>
      </c>
      <c r="C65" t="inlineStr">
        <is>
          <t>Easy</t>
        </is>
      </c>
      <c r="D65" t="inlineStr">
        <is>
          <t>OK</t>
        </is>
      </c>
      <c r="E65" t="inlineStr">
        <is>
          <t>RERANK_DROP</t>
        </is>
      </c>
      <c r="F65" s="9" t="n">
        <v>0</v>
      </c>
      <c r="G65" s="9" t="n">
        <v>0</v>
      </c>
      <c r="H65" s="9" t="n">
        <v>0</v>
      </c>
      <c r="I65" s="9" t="n">
        <v>0.5</v>
      </c>
      <c r="J65" t="inlineStr"/>
    </row>
    <row r="66">
      <c r="A66" t="inlineStr">
        <is>
          <t>LAW_C_004</t>
        </is>
      </c>
      <c r="B66" t="inlineStr">
        <is>
          <t>C</t>
        </is>
      </c>
      <c r="C66" t="inlineStr">
        <is>
          <t>Easy</t>
        </is>
      </c>
      <c r="D66" t="inlineStr">
        <is>
          <t>NO_CONTEXT</t>
        </is>
      </c>
      <c r="E66" t="inlineStr">
        <is>
          <t>THRESHOLD_CUT</t>
        </is>
      </c>
      <c r="H66" s="9" t="n">
        <v>0</v>
      </c>
      <c r="I66" s="9" t="n">
        <v>0</v>
      </c>
      <c r="J66" t="inlineStr"/>
    </row>
    <row r="67">
      <c r="A67" t="inlineStr">
        <is>
          <t>LAW_C_005</t>
        </is>
      </c>
      <c r="B67" t="inlineStr">
        <is>
          <t>C</t>
        </is>
      </c>
      <c r="C67" t="inlineStr">
        <is>
          <t>Easy</t>
        </is>
      </c>
      <c r="D67" t="inlineStr">
        <is>
          <t>NO_CONTEXT</t>
        </is>
      </c>
      <c r="E67" t="inlineStr">
        <is>
          <t>THRESHOLD_CUT</t>
        </is>
      </c>
      <c r="H67" s="9" t="n">
        <v>0</v>
      </c>
      <c r="I67" s="9" t="n">
        <v>0</v>
      </c>
      <c r="J67" t="inlineStr"/>
    </row>
    <row r="68">
      <c r="A68" t="inlineStr">
        <is>
          <t>LAW_C_006</t>
        </is>
      </c>
      <c r="B68" t="inlineStr">
        <is>
          <t>C</t>
        </is>
      </c>
      <c r="C68" t="inlineStr">
        <is>
          <t>Easy</t>
        </is>
      </c>
      <c r="D68" t="inlineStr">
        <is>
          <t>OK</t>
        </is>
      </c>
      <c r="E68" t="inlineStr">
        <is>
          <t>OK</t>
        </is>
      </c>
      <c r="F68" s="9" t="n">
        <v>1</v>
      </c>
      <c r="G68" s="9" t="n">
        <v>0.9799625886242691</v>
      </c>
      <c r="H68" s="9" t="n">
        <v>0.4499999999775</v>
      </c>
      <c r="I68" s="9" t="n">
        <v>1</v>
      </c>
      <c r="J68" t="inlineStr"/>
    </row>
    <row r="69">
      <c r="A69" t="inlineStr">
        <is>
          <t>LAW_C_007</t>
        </is>
      </c>
      <c r="B69" t="inlineStr">
        <is>
          <t>C</t>
        </is>
      </c>
      <c r="C69" t="inlineStr">
        <is>
          <t>Easy</t>
        </is>
      </c>
      <c r="D69" t="inlineStr">
        <is>
          <t>OK</t>
        </is>
      </c>
      <c r="E69" t="inlineStr">
        <is>
          <t>OK</t>
        </is>
      </c>
      <c r="F69" s="9" t="n">
        <v>1</v>
      </c>
      <c r="G69" s="9" t="n">
        <v>0.9425727443541374</v>
      </c>
      <c r="H69" s="9" t="n">
        <v>0.9999999999</v>
      </c>
      <c r="I69" s="9" t="n">
        <v>1</v>
      </c>
      <c r="J69" t="inlineStr"/>
    </row>
    <row r="70">
      <c r="A70" t="inlineStr">
        <is>
          <t>LAW_C_008</t>
        </is>
      </c>
      <c r="B70" t="inlineStr">
        <is>
          <t>C</t>
        </is>
      </c>
      <c r="C70" t="inlineStr">
        <is>
          <t>Medium</t>
        </is>
      </c>
      <c r="D70" t="inlineStr">
        <is>
          <t>OK</t>
        </is>
      </c>
      <c r="E70" t="inlineStr">
        <is>
          <t>LLM_ANSWER</t>
        </is>
      </c>
      <c r="F70" s="9" t="n">
        <v>1</v>
      </c>
      <c r="G70" s="9" t="n">
        <v>0.9668303428619003</v>
      </c>
      <c r="H70" s="9" t="n">
        <v>0.499999999975</v>
      </c>
      <c r="I70" s="9" t="n">
        <v>1</v>
      </c>
      <c r="J70" t="inlineStr"/>
    </row>
    <row r="71">
      <c r="A71" t="inlineStr">
        <is>
          <t>LAW_C_009</t>
        </is>
      </c>
      <c r="B71" t="inlineStr">
        <is>
          <t>C</t>
        </is>
      </c>
      <c r="C71" t="inlineStr">
        <is>
          <t>Medium</t>
        </is>
      </c>
      <c r="D71" t="inlineStr">
        <is>
          <t>OK</t>
        </is>
      </c>
      <c r="E71" t="inlineStr">
        <is>
          <t>WRONG_SOURCE_ANSWER</t>
        </is>
      </c>
      <c r="F71" s="9" t="n">
        <v>1</v>
      </c>
      <c r="G71" s="9" t="n">
        <v>0.9728902260055231</v>
      </c>
      <c r="H71" s="9" t="n">
        <v>0.49999999995</v>
      </c>
      <c r="I71" s="9" t="n">
        <v>1</v>
      </c>
      <c r="J71" t="inlineStr"/>
    </row>
    <row r="72">
      <c r="A72" t="inlineStr">
        <is>
          <t>LAW_C_010</t>
        </is>
      </c>
      <c r="B72" t="inlineStr">
        <is>
          <t>C</t>
        </is>
      </c>
      <c r="C72" t="inlineStr">
        <is>
          <t>Medium</t>
        </is>
      </c>
      <c r="D72" t="inlineStr">
        <is>
          <t>OK</t>
        </is>
      </c>
      <c r="E72" t="inlineStr">
        <is>
          <t>WRONG_SOURCE_ANSWER</t>
        </is>
      </c>
      <c r="F72" s="9" t="n">
        <v>1</v>
      </c>
      <c r="G72" s="9" t="n">
        <v>0.9353913848591334</v>
      </c>
      <c r="H72" s="9" t="n">
        <v>0</v>
      </c>
      <c r="I72" s="9" t="n">
        <v>1</v>
      </c>
      <c r="J72" t="inlineStr"/>
    </row>
    <row r="73">
      <c r="A73" t="inlineStr">
        <is>
          <t>LAW_C_011</t>
        </is>
      </c>
      <c r="B73" t="inlineStr">
        <is>
          <t>C</t>
        </is>
      </c>
      <c r="C73" t="inlineStr">
        <is>
          <t>Medium</t>
        </is>
      </c>
      <c r="D73" t="inlineStr">
        <is>
          <t>OK</t>
        </is>
      </c>
      <c r="E73" t="inlineStr">
        <is>
          <t>LLM_ANSWER</t>
        </is>
      </c>
      <c r="F73" s="9" t="n">
        <v>1</v>
      </c>
      <c r="G73" s="9" t="n">
        <v>0.9619844076216084</v>
      </c>
      <c r="H73" s="9" t="n">
        <v>0.9999999999</v>
      </c>
      <c r="I73" s="9" t="n">
        <v>0</v>
      </c>
      <c r="J73" t="inlineStr"/>
    </row>
    <row r="74">
      <c r="A74" t="inlineStr">
        <is>
          <t>LAW_C_012</t>
        </is>
      </c>
      <c r="B74" t="inlineStr">
        <is>
          <t>C</t>
        </is>
      </c>
      <c r="C74" t="inlineStr">
        <is>
          <t>Medium</t>
        </is>
      </c>
      <c r="D74" t="inlineStr">
        <is>
          <t>OK</t>
        </is>
      </c>
      <c r="E74" t="inlineStr">
        <is>
          <t>OK</t>
        </is>
      </c>
      <c r="F74" s="9" t="n">
        <v>0.2</v>
      </c>
      <c r="G74" s="9" t="n">
        <v>0.9555343619814897</v>
      </c>
      <c r="H74" s="9" t="n">
        <v>0.9999999999</v>
      </c>
      <c r="I74" s="9" t="n">
        <v>1</v>
      </c>
      <c r="J74" t="inlineStr"/>
    </row>
    <row r="75">
      <c r="A75" t="inlineStr">
        <is>
          <t>LAW_C_013</t>
        </is>
      </c>
      <c r="B75" t="inlineStr">
        <is>
          <t>C</t>
        </is>
      </c>
      <c r="C75" t="inlineStr">
        <is>
          <t>Medium</t>
        </is>
      </c>
      <c r="D75" t="inlineStr">
        <is>
          <t>OK</t>
        </is>
      </c>
      <c r="E75" t="inlineStr">
        <is>
          <t>OK</t>
        </is>
      </c>
      <c r="F75" s="9" t="n">
        <v>0.5</v>
      </c>
      <c r="G75" s="9" t="n">
        <v>0.9358929591923</v>
      </c>
      <c r="H75" s="9" t="n">
        <v>0</v>
      </c>
      <c r="I75" s="9" t="n">
        <v>0</v>
      </c>
      <c r="J75" t="inlineStr"/>
    </row>
    <row r="76">
      <c r="A76" t="inlineStr">
        <is>
          <t>LAW_C_014</t>
        </is>
      </c>
      <c r="B76" t="inlineStr">
        <is>
          <t>C</t>
        </is>
      </c>
      <c r="C76" t="inlineStr">
        <is>
          <t>Medium</t>
        </is>
      </c>
      <c r="D76" t="inlineStr">
        <is>
          <t>OK</t>
        </is>
      </c>
      <c r="E76" t="inlineStr">
        <is>
          <t>OK</t>
        </is>
      </c>
      <c r="F76" s="9" t="n">
        <v>1</v>
      </c>
      <c r="G76" s="9" t="n">
        <v>0.9632289398498417</v>
      </c>
      <c r="H76" s="9" t="n">
        <v>0.99999999995</v>
      </c>
      <c r="I76" s="9" t="n">
        <v>1</v>
      </c>
      <c r="J76" t="inlineStr"/>
    </row>
    <row r="77">
      <c r="A77" t="inlineStr">
        <is>
          <t>LAW_C_015</t>
        </is>
      </c>
      <c r="B77" t="inlineStr">
        <is>
          <t>C</t>
        </is>
      </c>
      <c r="C77" t="inlineStr">
        <is>
          <t>Hard</t>
        </is>
      </c>
      <c r="D77" t="inlineStr">
        <is>
          <t>NO_CONTEXT</t>
        </is>
      </c>
      <c r="E77" t="inlineStr">
        <is>
          <t>RERANK_DROP</t>
        </is>
      </c>
      <c r="H77" s="9" t="n">
        <v>0</v>
      </c>
      <c r="I77" s="9" t="n">
        <v>0</v>
      </c>
      <c r="J77" t="inlineStr"/>
    </row>
    <row r="78">
      <c r="A78" t="inlineStr">
        <is>
          <t>LAW_C_016</t>
        </is>
      </c>
      <c r="B78" t="inlineStr">
        <is>
          <t>C</t>
        </is>
      </c>
      <c r="C78" t="inlineStr">
        <is>
          <t>Hard</t>
        </is>
      </c>
      <c r="D78" t="inlineStr">
        <is>
          <t>NO_CONTEXT</t>
        </is>
      </c>
      <c r="E78" t="inlineStr">
        <is>
          <t>NO_GOLD</t>
        </is>
      </c>
      <c r="H78" s="9" t="n">
        <v>0</v>
      </c>
      <c r="I78" s="9" t="n">
        <v>0</v>
      </c>
      <c r="J78" t="inlineStr"/>
    </row>
    <row r="79">
      <c r="A79" t="inlineStr">
        <is>
          <t>LAW_C_017</t>
        </is>
      </c>
      <c r="B79" t="inlineStr">
        <is>
          <t>C</t>
        </is>
      </c>
      <c r="C79" t="inlineStr">
        <is>
          <t>Hard</t>
        </is>
      </c>
      <c r="D79" t="inlineStr">
        <is>
          <t>OK</t>
        </is>
      </c>
      <c r="E79" t="inlineStr">
        <is>
          <t>WRONG_SOURCE_ANSWER</t>
        </is>
      </c>
      <c r="F79" s="9" t="n">
        <v>1</v>
      </c>
      <c r="G79" s="9" t="n">
        <v>0.9519752393588373</v>
      </c>
      <c r="H79" s="9" t="n">
        <v>0</v>
      </c>
      <c r="I79" s="9" t="n">
        <v>0.5</v>
      </c>
      <c r="J79" t="inlineStr"/>
    </row>
    <row r="80">
      <c r="A80" t="inlineStr">
        <is>
          <t>LAW_C_018</t>
        </is>
      </c>
      <c r="B80" t="inlineStr">
        <is>
          <t>C</t>
        </is>
      </c>
      <c r="C80" t="inlineStr">
        <is>
          <t>Hard</t>
        </is>
      </c>
      <c r="D80" t="inlineStr">
        <is>
          <t>OK</t>
        </is>
      </c>
      <c r="E80" t="inlineStr">
        <is>
          <t>NO_GOLD</t>
        </is>
      </c>
      <c r="F80" s="9" t="n">
        <v>0</v>
      </c>
      <c r="G80" s="9" t="n">
        <v>0</v>
      </c>
      <c r="H80" s="9" t="n">
        <v>0.49999999995</v>
      </c>
      <c r="I80" s="9" t="n">
        <v>0</v>
      </c>
      <c r="J80" t="inlineStr"/>
    </row>
    <row r="81">
      <c r="A81" t="inlineStr">
        <is>
          <t>LAW_C_019</t>
        </is>
      </c>
      <c r="B81" t="inlineStr">
        <is>
          <t>C</t>
        </is>
      </c>
      <c r="C81" t="inlineStr">
        <is>
          <t>Hard</t>
        </is>
      </c>
      <c r="D81" t="inlineStr">
        <is>
          <t>NO_CONTEXT</t>
        </is>
      </c>
      <c r="E81" t="inlineStr">
        <is>
          <t>RETRIEVAL_MISS</t>
        </is>
      </c>
      <c r="H81" s="9" t="n">
        <v>0</v>
      </c>
      <c r="I81" s="9" t="n">
        <v>0</v>
      </c>
      <c r="J81" t="inlineStr"/>
    </row>
    <row r="82">
      <c r="A82" t="inlineStr">
        <is>
          <t>LAW_C_020</t>
        </is>
      </c>
      <c r="B82" t="inlineStr">
        <is>
          <t>C</t>
        </is>
      </c>
      <c r="C82" t="inlineStr">
        <is>
          <t>Hard</t>
        </is>
      </c>
      <c r="D82" t="inlineStr">
        <is>
          <t>NO_CONTEXT</t>
        </is>
      </c>
      <c r="E82" t="inlineStr">
        <is>
          <t>THRESHOLD_CUT</t>
        </is>
      </c>
      <c r="H82" s="9" t="n">
        <v>0</v>
      </c>
      <c r="I82" s="9" t="n">
        <v>0</v>
      </c>
      <c r="J82" t="inlineStr"/>
    </row>
    <row r="83">
      <c r="A83" t="inlineStr">
        <is>
          <t>LAW_D_001</t>
        </is>
      </c>
      <c r="B83" t="inlineStr">
        <is>
          <t>D</t>
        </is>
      </c>
      <c r="C83" t="inlineStr">
        <is>
          <t>Easy</t>
        </is>
      </c>
      <c r="D83" t="inlineStr">
        <is>
          <t>OK</t>
        </is>
      </c>
      <c r="E83" t="inlineStr">
        <is>
          <t>LLM_ANSWER</t>
        </is>
      </c>
      <c r="F83" s="9" t="n">
        <v>1</v>
      </c>
      <c r="G83" s="9" t="n">
        <v>0.9647119525438482</v>
      </c>
      <c r="H83" s="9" t="n">
        <v>0.9999999999666667</v>
      </c>
      <c r="I83" s="9" t="n">
        <v>1</v>
      </c>
      <c r="J83" t="inlineStr"/>
    </row>
    <row r="84">
      <c r="A84" t="inlineStr">
        <is>
          <t>LAW_D_002</t>
        </is>
      </c>
      <c r="B84" t="inlineStr">
        <is>
          <t>D</t>
        </is>
      </c>
      <c r="C84" t="inlineStr">
        <is>
          <t>Easy</t>
        </is>
      </c>
      <c r="D84" t="inlineStr">
        <is>
          <t>PARTIAL_METRICS</t>
        </is>
      </c>
      <c r="E84" t="inlineStr">
        <is>
          <t>OK</t>
        </is>
      </c>
      <c r="G84" s="9" t="n">
        <v>0.9367783261225021</v>
      </c>
      <c r="H84" s="9" t="n">
        <v>0.9999999999</v>
      </c>
      <c r="I84" s="9" t="n">
        <v>1</v>
      </c>
      <c r="J84" t="inlineStr">
        <is>
          <t>OutputParserException: Invalid json output: {
    "statements": [
        {
            "statement": "C\u1ea9m nang so s\u00ánh ch\u1ee7 y\u1ebfu s\u1ef1 kh\u00e1c bi\u1ec7t v\u1ec1 quy \u0111\u1ecbnh gi\u1eefa hai phi\u00ean b\u1ea3n B\u1ed9 lu\u1eadt Lao \u0111\u1ed9ng l\u00e0 B\u1ed9 lu\u1eadt La</t>
        </is>
      </c>
    </row>
    <row r="85">
      <c r="A85" t="inlineStr">
        <is>
          <t>LAW_D_003</t>
        </is>
      </c>
      <c r="B85" t="inlineStr">
        <is>
          <t>D</t>
        </is>
      </c>
      <c r="C85" t="inlineStr">
        <is>
          <t>Easy</t>
        </is>
      </c>
      <c r="D85" t="inlineStr">
        <is>
          <t>OK</t>
        </is>
      </c>
      <c r="E85" t="inlineStr">
        <is>
          <t>OK</t>
        </is>
      </c>
      <c r="F85" s="9" t="n">
        <v>1</v>
      </c>
      <c r="G85" s="9" t="n">
        <v>0.946029801404769</v>
      </c>
      <c r="H85" s="9" t="n">
        <v>0.9999999999</v>
      </c>
      <c r="I85" s="9" t="n">
        <v>1</v>
      </c>
      <c r="J85" t="inlineStr"/>
    </row>
    <row r="86">
      <c r="A86" t="inlineStr">
        <is>
          <t>LAW_D_004</t>
        </is>
      </c>
      <c r="B86" t="inlineStr">
        <is>
          <t>D</t>
        </is>
      </c>
      <c r="C86" t="inlineStr">
        <is>
          <t>Easy</t>
        </is>
      </c>
      <c r="D86" t="inlineStr">
        <is>
          <t>OK</t>
        </is>
      </c>
      <c r="E86" t="inlineStr">
        <is>
          <t>THRESHOLD_CUT</t>
        </is>
      </c>
      <c r="F86" s="9" t="n">
        <v>0</v>
      </c>
      <c r="G86" s="9" t="n">
        <v>0</v>
      </c>
      <c r="H86" s="9" t="n">
        <v>0.9999999999</v>
      </c>
      <c r="I86" s="9" t="n">
        <v>1</v>
      </c>
      <c r="J86" t="inlineStr"/>
    </row>
    <row r="87">
      <c r="A87" t="inlineStr">
        <is>
          <t>LAW_D_005</t>
        </is>
      </c>
      <c r="B87" t="inlineStr">
        <is>
          <t>D</t>
        </is>
      </c>
      <c r="C87" t="inlineStr">
        <is>
          <t>Easy</t>
        </is>
      </c>
      <c r="D87" t="inlineStr">
        <is>
          <t>PARTIAL_METRICS</t>
        </is>
      </c>
      <c r="E87" t="inlineStr">
        <is>
          <t>OK</t>
        </is>
      </c>
      <c r="F87" s="9" t="n">
        <v>1</v>
      </c>
      <c r="G87" s="9" t="n">
        <v>0.9571978419823256</v>
      </c>
      <c r="H87" s="9" t="n">
        <v>0.9999999999</v>
      </c>
      <c r="J87" t="inlineStr">
        <is>
          <t>OutputParserException: Invalid json output: {
    "classifications": [
        {
            "statement": "C\u00f3.",
            "reason": "The context states that the handbook focuses on important changes related to the probation period (th\u1edi gian th\u1eed vi\u1ec7c), which means it does conta</t>
        </is>
      </c>
    </row>
    <row r="88">
      <c r="A88" t="inlineStr">
        <is>
          <t>LAW_D_006</t>
        </is>
      </c>
      <c r="B88" t="inlineStr">
        <is>
          <t>D</t>
        </is>
      </c>
      <c r="C88" t="inlineStr">
        <is>
          <t>Easy</t>
        </is>
      </c>
      <c r="D88" t="inlineStr">
        <is>
          <t>OK</t>
        </is>
      </c>
      <c r="E88" t="inlineStr">
        <is>
          <t>OK</t>
        </is>
      </c>
      <c r="F88" s="9" t="n">
        <v>1</v>
      </c>
      <c r="G88" s="9" t="n">
        <v>1</v>
      </c>
      <c r="H88" s="9" t="n">
        <v>0.99999999995</v>
      </c>
      <c r="I88" s="9" t="n">
        <v>1</v>
      </c>
      <c r="J88" t="inlineStr"/>
    </row>
    <row r="89">
      <c r="A89" t="inlineStr">
        <is>
          <t>LAW_D_007</t>
        </is>
      </c>
      <c r="B89" t="inlineStr">
        <is>
          <t>D</t>
        </is>
      </c>
      <c r="C89" t="inlineStr">
        <is>
          <t>Easy</t>
        </is>
      </c>
      <c r="D89" t="inlineStr">
        <is>
          <t>OK</t>
        </is>
      </c>
      <c r="E89" t="inlineStr">
        <is>
          <t>LLM_ANSWER</t>
        </is>
      </c>
      <c r="F89" s="9" t="n">
        <v>1</v>
      </c>
      <c r="G89" s="9" t="n">
        <v>0.9993560839612168</v>
      </c>
      <c r="H89" s="9" t="n">
        <v>0.99999999998</v>
      </c>
      <c r="I89" s="9" t="n">
        <v>1</v>
      </c>
      <c r="J89" t="inlineStr"/>
    </row>
    <row r="90">
      <c r="A90" t="inlineStr">
        <is>
          <t>LAW_D_008</t>
        </is>
      </c>
      <c r="B90" t="inlineStr">
        <is>
          <t>D</t>
        </is>
      </c>
      <c r="C90" t="inlineStr">
        <is>
          <t>Medium</t>
        </is>
      </c>
      <c r="D90" t="inlineStr">
        <is>
          <t>PARTIAL_METRICS</t>
        </is>
      </c>
      <c r="E90" t="inlineStr">
        <is>
          <t>LLM_ANSWER</t>
        </is>
      </c>
      <c r="F90" s="9" t="n">
        <v>1</v>
      </c>
      <c r="G90" s="9" t="n">
        <v>0.9728283819445253</v>
      </c>
      <c r="I90" s="9" t="n">
        <v>1</v>
      </c>
      <c r="J90" t="inlineStr">
        <is>
          <t>OutputParserException: Invalid json output: {
    "reason": "The provided context discusses the content and focus of the handbook (C\u1ea9m nang th\u1ef1c hi\u1ecện B\u1ed9 lu\u1eadt lao \u0111\u1ed9ng 2019 t\u1ea1i doanh nghi\u1ec7p) regarding important changes such as labor contracts, wages, overt</t>
        </is>
      </c>
    </row>
    <row r="91">
      <c r="A91" t="inlineStr">
        <is>
          <t>LAW_D_009</t>
        </is>
      </c>
      <c r="B91" t="inlineStr">
        <is>
          <t>D</t>
        </is>
      </c>
      <c r="C91" t="inlineStr">
        <is>
          <t>Medium</t>
        </is>
      </c>
      <c r="D91" t="inlineStr">
        <is>
          <t>PARTIAL_METRICS</t>
        </is>
      </c>
      <c r="E91" t="inlineStr">
        <is>
          <t>OK</t>
        </is>
      </c>
      <c r="F91" s="9" t="n">
        <v>1</v>
      </c>
      <c r="G91" s="9" t="n">
        <v>0.919120972297331</v>
      </c>
      <c r="H91" s="9" t="n">
        <v>0.9999999999666667</v>
      </c>
      <c r="J91" t="inlineStr">
        <is>
          <t>OutputParserException: Invalid json output: {
    "classifications": [
        {
            "statement": "Ch\u01b0\u01a1ng I, m\u1ee5c I - Quan h\u1ec7 lao \u0111\u1ed9ng, ph\u1ea7n \u201cD\u1ea5u hi\u1ec7u nh\u1eadn bi\u1ebft quan h\u1ec7 lao \u0111\u1ed9ng\u201d.",
            "reason": "Ph\u1ea7</t>
        </is>
      </c>
    </row>
    <row r="92">
      <c r="A92" t="inlineStr">
        <is>
          <t>LAW_D_010</t>
        </is>
      </c>
      <c r="B92" t="inlineStr">
        <is>
          <t>D</t>
        </is>
      </c>
      <c r="C92" t="inlineStr">
        <is>
          <t>Medium</t>
        </is>
      </c>
      <c r="D92" t="inlineStr">
        <is>
          <t>OK</t>
        </is>
      </c>
      <c r="E92" t="inlineStr">
        <is>
          <t>WRONG_SOURCE_ANSWER</t>
        </is>
      </c>
      <c r="F92" s="9" t="n">
        <v>0.5</v>
      </c>
      <c r="G92" s="9" t="n">
        <v>0.9019248403982481</v>
      </c>
      <c r="H92" s="9" t="n">
        <v>0.9999999999666667</v>
      </c>
      <c r="I92" s="9" t="n">
        <v>1</v>
      </c>
      <c r="J92" t="inlineStr"/>
    </row>
    <row r="93">
      <c r="A93" t="inlineStr">
        <is>
          <t>LAW_D_011</t>
        </is>
      </c>
      <c r="B93" t="inlineStr">
        <is>
          <t>D</t>
        </is>
      </c>
      <c r="C93" t="inlineStr">
        <is>
          <t>Medium</t>
        </is>
      </c>
      <c r="D93" t="inlineStr">
        <is>
          <t>PARTIAL_METRICS</t>
        </is>
      </c>
      <c r="E93" t="inlineStr">
        <is>
          <t>OK</t>
        </is>
      </c>
      <c r="F93" s="9" t="n">
        <v>0.8571428571428571</v>
      </c>
      <c r="G93" s="9" t="n">
        <v>0.904759309384954</v>
      </c>
      <c r="H93" s="9" t="n">
        <v>0.19999999998</v>
      </c>
      <c r="J93" t="inlineStr">
        <is>
          <t>OutputParserException: Invalid json output: {
    "classifications": [
        {
            "statement": "Ph\u1ea7n III v\u1ec1 ch\u1ea5m d\u1eeứt HĐLĐ do thay đồi cơ cấu, công nghệ hoặc vì lý do kinh tế, gồm căn cứ và quy trình cho thôi việc.",
            "reason": "Ngữ cảnh không đề cập đến Phần</t>
        </is>
      </c>
    </row>
    <row r="94">
      <c r="A94" t="inlineStr">
        <is>
          <t>LAW_D_012</t>
        </is>
      </c>
      <c r="B94" t="inlineStr">
        <is>
          <t>D</t>
        </is>
      </c>
      <c r="C94" t="inlineStr">
        <is>
          <t>Medium</t>
        </is>
      </c>
      <c r="D94" t="inlineStr">
        <is>
          <t>OK</t>
        </is>
      </c>
      <c r="E94" t="inlineStr">
        <is>
          <t>OK</t>
        </is>
      </c>
      <c r="F94" s="9" t="n">
        <v>1</v>
      </c>
      <c r="G94" s="9" t="n">
        <v>0.9445563309564008</v>
      </c>
      <c r="H94" s="9" t="n">
        <v>0.5333333333155555</v>
      </c>
      <c r="I94" s="9" t="n">
        <v>0</v>
      </c>
      <c r="J94" t="inlineStr"/>
    </row>
    <row r="95">
      <c r="A95" t="inlineStr">
        <is>
          <t>LAW_D_013</t>
        </is>
      </c>
      <c r="B95" t="inlineStr">
        <is>
          <t>D</t>
        </is>
      </c>
      <c r="C95" t="inlineStr">
        <is>
          <t>Medium</t>
        </is>
      </c>
      <c r="D95" t="inlineStr">
        <is>
          <t>NO_CONTEXT</t>
        </is>
      </c>
      <c r="E95" t="inlineStr">
        <is>
          <t>RETRIEVAL_MISS</t>
        </is>
      </c>
      <c r="H95" s="9" t="n">
        <v>0</v>
      </c>
      <c r="I95" s="9" t="n">
        <v>0</v>
      </c>
      <c r="J95" t="inlineStr"/>
    </row>
    <row r="96">
      <c r="A96" t="inlineStr">
        <is>
          <t>LAW_D_014</t>
        </is>
      </c>
      <c r="B96" t="inlineStr">
        <is>
          <t>D</t>
        </is>
      </c>
      <c r="C96" t="inlineStr">
        <is>
          <t>Medium</t>
        </is>
      </c>
      <c r="D96" t="inlineStr">
        <is>
          <t>OK</t>
        </is>
      </c>
      <c r="E96" t="inlineStr">
        <is>
          <t>OK</t>
        </is>
      </c>
      <c r="F96" s="9" t="n">
        <v>1</v>
      </c>
      <c r="G96" s="9" t="n">
        <v>0.893714797147661</v>
      </c>
      <c r="H96" s="9" t="n">
        <v>0.6999999999766667</v>
      </c>
      <c r="I96" s="9" t="n">
        <v>1</v>
      </c>
      <c r="J96" t="inlineStr"/>
    </row>
    <row r="97">
      <c r="A97" t="inlineStr">
        <is>
          <t>LAW_D_015</t>
        </is>
      </c>
      <c r="B97" t="inlineStr">
        <is>
          <t>D</t>
        </is>
      </c>
      <c r="C97" t="inlineStr">
        <is>
          <t>Hard</t>
        </is>
      </c>
      <c r="D97" t="inlineStr">
        <is>
          <t>OK</t>
        </is>
      </c>
      <c r="E97" t="inlineStr">
        <is>
          <t>RERANK_DROP</t>
        </is>
      </c>
      <c r="F97" s="9" t="n">
        <v>1</v>
      </c>
      <c r="G97" s="9" t="n">
        <v>0</v>
      </c>
      <c r="H97" s="9" t="n">
        <v>0</v>
      </c>
      <c r="I97" s="9" t="n">
        <v>0</v>
      </c>
      <c r="J97" t="inlineStr"/>
    </row>
    <row r="98">
      <c r="A98" t="inlineStr">
        <is>
          <t>LAW_D_016</t>
        </is>
      </c>
      <c r="B98" t="inlineStr">
        <is>
          <t>D</t>
        </is>
      </c>
      <c r="C98" t="inlineStr">
        <is>
          <t>Hard</t>
        </is>
      </c>
      <c r="D98" t="inlineStr">
        <is>
          <t>OK</t>
        </is>
      </c>
      <c r="E98" t="inlineStr">
        <is>
          <t>OK</t>
        </is>
      </c>
      <c r="F98" s="9" t="n">
        <v>1</v>
      </c>
      <c r="G98" s="9" t="n">
        <v>0.8168162071397522</v>
      </c>
      <c r="H98" s="9" t="n">
        <v>0.8041666666465626</v>
      </c>
      <c r="I98" s="9" t="n">
        <v>1</v>
      </c>
      <c r="J98" t="inlineStr"/>
    </row>
    <row r="99">
      <c r="A99" t="inlineStr">
        <is>
          <t>LAW_D_017</t>
        </is>
      </c>
      <c r="B99" t="inlineStr">
        <is>
          <t>D</t>
        </is>
      </c>
      <c r="C99" t="inlineStr">
        <is>
          <t>Hard</t>
        </is>
      </c>
      <c r="D99" t="inlineStr">
        <is>
          <t>NO_CONTEXT</t>
        </is>
      </c>
      <c r="E99" t="inlineStr">
        <is>
          <t>RERANK_DROP</t>
        </is>
      </c>
      <c r="H99" s="9" t="n">
        <v>0</v>
      </c>
      <c r="I99" s="9" t="n">
        <v>0</v>
      </c>
      <c r="J99" t="inlineStr"/>
    </row>
    <row r="100">
      <c r="A100" t="inlineStr">
        <is>
          <t>LAW_D_018</t>
        </is>
      </c>
      <c r="B100" t="inlineStr">
        <is>
          <t>D</t>
        </is>
      </c>
      <c r="C100" t="inlineStr">
        <is>
          <t>Hard</t>
        </is>
      </c>
      <c r="D100" t="inlineStr">
        <is>
          <t>OK</t>
        </is>
      </c>
      <c r="E100" t="inlineStr">
        <is>
          <t>NO_GOLD</t>
        </is>
      </c>
      <c r="F100" s="9" t="n">
        <v>0</v>
      </c>
      <c r="G100" s="9" t="n">
        <v>0</v>
      </c>
      <c r="H100" s="9" t="n">
        <v>0</v>
      </c>
      <c r="I100" s="9" t="n">
        <v>0.5</v>
      </c>
      <c r="J100" t="inlineStr"/>
    </row>
    <row r="101">
      <c r="A101" t="inlineStr">
        <is>
          <t>LAW_D_019</t>
        </is>
      </c>
      <c r="B101" t="inlineStr">
        <is>
          <t>D</t>
        </is>
      </c>
      <c r="C101" t="inlineStr">
        <is>
          <t>Hard</t>
        </is>
      </c>
      <c r="D101" t="inlineStr">
        <is>
          <t>OK</t>
        </is>
      </c>
      <c r="E101" t="inlineStr">
        <is>
          <t>OK</t>
        </is>
      </c>
      <c r="F101" s="9" t="n">
        <v>1</v>
      </c>
      <c r="G101" s="9" t="n">
        <v>0.904076812147714</v>
      </c>
      <c r="H101" s="9" t="n">
        <v>0.5833333333041666</v>
      </c>
      <c r="I101" s="9" t="n">
        <v>1</v>
      </c>
      <c r="J101" t="inlineStr"/>
    </row>
    <row r="102">
      <c r="A102" t="inlineStr">
        <is>
          <t>LAW_D_020</t>
        </is>
      </c>
      <c r="B102" t="inlineStr">
        <is>
          <t>D</t>
        </is>
      </c>
      <c r="C102" t="inlineStr">
        <is>
          <t>Hard</t>
        </is>
      </c>
      <c r="D102" t="inlineStr">
        <is>
          <t>NO_CONTEXT</t>
        </is>
      </c>
      <c r="E102" t="inlineStr">
        <is>
          <t>THRESHOLD_CUT</t>
        </is>
      </c>
      <c r="H102" s="9" t="n">
        <v>0</v>
      </c>
      <c r="I102" s="9" t="n">
        <v>0</v>
      </c>
      <c r="J102" t="inlineStr"/>
    </row>
    <row r="103">
      <c r="A103" t="inlineStr">
        <is>
          <t>LAW_E_001</t>
        </is>
      </c>
      <c r="B103" t="inlineStr">
        <is>
          <t>E</t>
        </is>
      </c>
      <c r="C103" t="inlineStr">
        <is>
          <t>Easy</t>
        </is>
      </c>
      <c r="D103" t="inlineStr">
        <is>
          <t>OK</t>
        </is>
      </c>
      <c r="E103" t="inlineStr">
        <is>
          <t>LLM_ANSWER</t>
        </is>
      </c>
      <c r="F103" s="9" t="n">
        <v>1</v>
      </c>
      <c r="G103" s="9" t="n">
        <v>0.9353441847575272</v>
      </c>
      <c r="H103" s="9" t="n">
        <v>0.499999999975</v>
      </c>
      <c r="I103" s="9" t="n">
        <v>1</v>
      </c>
      <c r="J103" t="inlineStr"/>
    </row>
    <row r="104">
      <c r="A104" t="inlineStr">
        <is>
          <t>LAW_E_002</t>
        </is>
      </c>
      <c r="B104" t="inlineStr">
        <is>
          <t>E</t>
        </is>
      </c>
      <c r="C104" t="inlineStr">
        <is>
          <t>Easy</t>
        </is>
      </c>
      <c r="D104" t="inlineStr">
        <is>
          <t>OK</t>
        </is>
      </c>
      <c r="E104" t="inlineStr">
        <is>
          <t>OK</t>
        </is>
      </c>
      <c r="F104" s="9" t="n">
        <v>1</v>
      </c>
      <c r="G104" s="9" t="n">
        <v>0.9302549944068158</v>
      </c>
      <c r="H104" s="9" t="n">
        <v>0.99999999995</v>
      </c>
      <c r="I104" s="9" t="n">
        <v>1</v>
      </c>
      <c r="J104" t="inlineStr"/>
    </row>
    <row r="105">
      <c r="A105" t="inlineStr">
        <is>
          <t>LAW_E_003</t>
        </is>
      </c>
      <c r="B105" t="inlineStr">
        <is>
          <t>E</t>
        </is>
      </c>
      <c r="C105" t="inlineStr">
        <is>
          <t>Easy</t>
        </is>
      </c>
      <c r="D105" t="inlineStr">
        <is>
          <t>OK</t>
        </is>
      </c>
      <c r="E105" t="inlineStr">
        <is>
          <t>LLM_ANSWER</t>
        </is>
      </c>
      <c r="F105" s="9" t="n">
        <v>1</v>
      </c>
      <c r="G105" s="9" t="n">
        <v>0.9768703723350657</v>
      </c>
      <c r="H105" s="9" t="n">
        <v>0.99999999995</v>
      </c>
      <c r="I105" s="9" t="n">
        <v>1</v>
      </c>
      <c r="J105" t="inlineStr"/>
    </row>
    <row r="106">
      <c r="A106" t="inlineStr">
        <is>
          <t>LAW_E_004</t>
        </is>
      </c>
      <c r="B106" t="inlineStr">
        <is>
          <t>E</t>
        </is>
      </c>
      <c r="C106" t="inlineStr">
        <is>
          <t>Easy</t>
        </is>
      </c>
      <c r="D106" t="inlineStr">
        <is>
          <t>OK</t>
        </is>
      </c>
      <c r="E106" t="inlineStr">
        <is>
          <t>OK</t>
        </is>
      </c>
      <c r="F106" s="9" t="n">
        <v>1</v>
      </c>
      <c r="G106" s="9" t="n">
        <v>0.9745678310628967</v>
      </c>
      <c r="H106" s="9" t="n">
        <v>0.5833333333041666</v>
      </c>
      <c r="I106" s="9" t="n">
        <v>1</v>
      </c>
      <c r="J106" t="inlineStr"/>
    </row>
    <row r="107">
      <c r="A107" t="inlineStr">
        <is>
          <t>LAW_E_005</t>
        </is>
      </c>
      <c r="B107" t="inlineStr">
        <is>
          <t>E</t>
        </is>
      </c>
      <c r="C107" t="inlineStr">
        <is>
          <t>Easy</t>
        </is>
      </c>
      <c r="D107" t="inlineStr">
        <is>
          <t>OK</t>
        </is>
      </c>
      <c r="E107" t="inlineStr">
        <is>
          <t>OK</t>
        </is>
      </c>
      <c r="F107" s="9" t="n">
        <v>1</v>
      </c>
      <c r="G107" s="9" t="n">
        <v>0.9720693890807721</v>
      </c>
      <c r="H107" s="9" t="n">
        <v>0.9166666666361111</v>
      </c>
      <c r="I107" s="9" t="n">
        <v>1</v>
      </c>
      <c r="J107" t="inlineStr"/>
    </row>
    <row r="108">
      <c r="A108" t="inlineStr">
        <is>
          <t>LAW_E_006</t>
        </is>
      </c>
      <c r="B108" t="inlineStr">
        <is>
          <t>E</t>
        </is>
      </c>
      <c r="C108" t="inlineStr">
        <is>
          <t>Easy</t>
        </is>
      </c>
      <c r="D108" t="inlineStr">
        <is>
          <t>OK</t>
        </is>
      </c>
      <c r="E108" t="inlineStr">
        <is>
          <t>OK</t>
        </is>
      </c>
      <c r="F108" s="9" t="n">
        <v>1</v>
      </c>
      <c r="G108" s="9" t="n">
        <v>0.9143770251183383</v>
      </c>
      <c r="H108" s="9" t="n">
        <v>0.9999999999666667</v>
      </c>
      <c r="I108" s="9" t="n">
        <v>1</v>
      </c>
      <c r="J108" t="inlineStr"/>
    </row>
    <row r="109">
      <c r="A109" t="inlineStr">
        <is>
          <t>LAW_E_007</t>
        </is>
      </c>
      <c r="B109" t="inlineStr">
        <is>
          <t>E</t>
        </is>
      </c>
      <c r="C109" t="inlineStr">
        <is>
          <t>Easy</t>
        </is>
      </c>
      <c r="D109" t="inlineStr">
        <is>
          <t>PARTIAL_METRICS</t>
        </is>
      </c>
      <c r="E109" t="inlineStr">
        <is>
          <t>OK</t>
        </is>
      </c>
      <c r="G109" s="9" t="n">
        <v>0.9728946566032571</v>
      </c>
      <c r="H109" s="9" t="n">
        <v>0.99999999995</v>
      </c>
      <c r="I109" s="9" t="n">
        <v>1</v>
      </c>
      <c r="J109" t="inlineStr">
        <is>
          <t>OutputParserException: Invalid json output: {
    "statements": [
        {
            "statement": "Th\u1eed vi\u1ecệc kh\u00f4ng được áp dụng đối với người lao động giao kết hợp đồng lao động có thời hạn dưới 01 tháng.",
            "reason": "Ngữ cảnh đề cập rõ ràng rằng không áp dụng thử việc đ</t>
        </is>
      </c>
    </row>
    <row r="110">
      <c r="A110" t="inlineStr">
        <is>
          <t>LAW_E_008</t>
        </is>
      </c>
      <c r="B110" t="inlineStr">
        <is>
          <t>E</t>
        </is>
      </c>
      <c r="C110" t="inlineStr">
        <is>
          <t>Medium</t>
        </is>
      </c>
      <c r="D110" t="inlineStr">
        <is>
          <t>OK</t>
        </is>
      </c>
      <c r="E110" t="inlineStr">
        <is>
          <t>OK</t>
        </is>
      </c>
      <c r="F110" s="9" t="n">
        <v>1</v>
      </c>
      <c r="G110" s="9" t="n">
        <v>0.9960341392853689</v>
      </c>
      <c r="H110" s="9" t="n">
        <v>0.999999999975</v>
      </c>
      <c r="I110" s="9" t="n">
        <v>1</v>
      </c>
      <c r="J110" t="inlineStr"/>
    </row>
    <row r="111">
      <c r="A111" t="inlineStr">
        <is>
          <t>LAW_E_009</t>
        </is>
      </c>
      <c r="B111" t="inlineStr">
        <is>
          <t>E</t>
        </is>
      </c>
      <c r="C111" t="inlineStr">
        <is>
          <t>Medium</t>
        </is>
      </c>
      <c r="D111" t="inlineStr">
        <is>
          <t>OK</t>
        </is>
      </c>
      <c r="E111" t="inlineStr">
        <is>
          <t>LLM_ANSWER</t>
        </is>
      </c>
      <c r="F111" s="9" t="n">
        <v>1</v>
      </c>
      <c r="G111" s="9" t="n">
        <v>0.9554347480772248</v>
      </c>
      <c r="H111" s="9" t="n">
        <v>0.999999999975</v>
      </c>
      <c r="I111" s="9" t="n">
        <v>1</v>
      </c>
      <c r="J111" t="inlineStr"/>
    </row>
    <row r="112">
      <c r="A112" t="inlineStr">
        <is>
          <t>LAW_E_010</t>
        </is>
      </c>
      <c r="B112" t="inlineStr">
        <is>
          <t>E</t>
        </is>
      </c>
      <c r="C112" t="inlineStr">
        <is>
          <t>Medium</t>
        </is>
      </c>
      <c r="D112" t="inlineStr">
        <is>
          <t>OK</t>
        </is>
      </c>
      <c r="E112" t="inlineStr">
        <is>
          <t>WRONG_SOURCE_ANSWER</t>
        </is>
      </c>
      <c r="F112" s="9" t="n">
        <v>1</v>
      </c>
      <c r="G112" s="9" t="n">
        <v>0.9675471777462314</v>
      </c>
      <c r="H112" s="9" t="n">
        <v>0.3333333333</v>
      </c>
      <c r="I112" s="9" t="n">
        <v>1</v>
      </c>
      <c r="J112" t="inlineStr"/>
    </row>
    <row r="113">
      <c r="A113" t="inlineStr">
        <is>
          <t>LAW_E_011</t>
        </is>
      </c>
      <c r="B113" t="inlineStr">
        <is>
          <t>E</t>
        </is>
      </c>
      <c r="C113" t="inlineStr">
        <is>
          <t>Medium</t>
        </is>
      </c>
      <c r="D113" t="inlineStr">
        <is>
          <t>OK</t>
        </is>
      </c>
      <c r="E113" t="inlineStr">
        <is>
          <t>WRONG_SOURCE_ANSWER</t>
        </is>
      </c>
      <c r="F113" s="9" t="n">
        <v>1</v>
      </c>
      <c r="G113" s="9" t="n">
        <v>0.9692676925476816</v>
      </c>
      <c r="H113" s="9" t="n">
        <v>0.7555555555303703</v>
      </c>
      <c r="I113" s="9" t="n">
        <v>1</v>
      </c>
      <c r="J113" t="inlineStr"/>
    </row>
    <row r="114">
      <c r="A114" t="inlineStr">
        <is>
          <t>LAW_E_012</t>
        </is>
      </c>
      <c r="B114" t="inlineStr">
        <is>
          <t>E</t>
        </is>
      </c>
      <c r="C114" t="inlineStr">
        <is>
          <t>Medium</t>
        </is>
      </c>
      <c r="D114" t="inlineStr">
        <is>
          <t>OK</t>
        </is>
      </c>
      <c r="E114" t="inlineStr">
        <is>
          <t>LLM_ANSWER</t>
        </is>
      </c>
      <c r="F114" s="9" t="n">
        <v>1</v>
      </c>
      <c r="G114" s="9" t="n">
        <v>0.9130599963536595</v>
      </c>
      <c r="H114" s="9" t="n">
        <v>0.9999999999666667</v>
      </c>
      <c r="I114" s="9" t="n">
        <v>1</v>
      </c>
      <c r="J114" t="inlineStr"/>
    </row>
    <row r="115">
      <c r="A115" t="inlineStr">
        <is>
          <t>LAW_E_013</t>
        </is>
      </c>
      <c r="B115" t="inlineStr">
        <is>
          <t>E</t>
        </is>
      </c>
      <c r="C115" t="inlineStr">
        <is>
          <t>Medium</t>
        </is>
      </c>
      <c r="D115" t="inlineStr">
        <is>
          <t>OK</t>
        </is>
      </c>
      <c r="E115" t="inlineStr">
        <is>
          <t>WRONG_SOURCE_ANSWER</t>
        </is>
      </c>
      <c r="F115" s="9" t="n">
        <v>0.8571428571428571</v>
      </c>
      <c r="G115" s="9" t="n">
        <v>0.9769270420541796</v>
      </c>
      <c r="H115" s="9" t="n">
        <v>0.9999999999</v>
      </c>
      <c r="I115" s="9" t="n">
        <v>1</v>
      </c>
      <c r="J115" t="inlineStr"/>
    </row>
    <row r="116">
      <c r="A116" t="inlineStr">
        <is>
          <t>LAW_E_014</t>
        </is>
      </c>
      <c r="B116" t="inlineStr">
        <is>
          <t>E</t>
        </is>
      </c>
      <c r="C116" t="inlineStr">
        <is>
          <t>Medium</t>
        </is>
      </c>
      <c r="D116" t="inlineStr">
        <is>
          <t>OK</t>
        </is>
      </c>
      <c r="E116" t="inlineStr">
        <is>
          <t>WRONG_SOURCE_ANSWER</t>
        </is>
      </c>
      <c r="F116" s="9" t="n">
        <v>1</v>
      </c>
      <c r="G116" s="9" t="n">
        <v>0.9137483377531572</v>
      </c>
      <c r="H116" s="9" t="n">
        <v>0.99999999995</v>
      </c>
      <c r="I116" s="9" t="n">
        <v>1</v>
      </c>
      <c r="J116" t="inlineStr"/>
    </row>
    <row r="117">
      <c r="A117" t="inlineStr">
        <is>
          <t>LAW_E_015</t>
        </is>
      </c>
      <c r="B117" t="inlineStr">
        <is>
          <t>E</t>
        </is>
      </c>
      <c r="C117" t="inlineStr">
        <is>
          <t>Hard</t>
        </is>
      </c>
      <c r="D117" t="inlineStr">
        <is>
          <t>OK</t>
        </is>
      </c>
      <c r="E117" t="inlineStr">
        <is>
          <t>OK</t>
        </is>
      </c>
      <c r="F117" s="9" t="n">
        <v>1</v>
      </c>
      <c r="G117" s="9" t="n">
        <v>0.9491167787506164</v>
      </c>
      <c r="H117" s="9" t="n">
        <v>0.999999999975</v>
      </c>
      <c r="I117" s="9" t="n">
        <v>1</v>
      </c>
      <c r="J117" t="inlineStr"/>
    </row>
    <row r="118">
      <c r="A118" t="inlineStr">
        <is>
          <t>LAW_E_016</t>
        </is>
      </c>
      <c r="B118" t="inlineStr">
        <is>
          <t>E</t>
        </is>
      </c>
      <c r="C118" t="inlineStr">
        <is>
          <t>Hard</t>
        </is>
      </c>
      <c r="D118" t="inlineStr">
        <is>
          <t>OK</t>
        </is>
      </c>
      <c r="E118" t="inlineStr">
        <is>
          <t>LLM_ANSWER</t>
        </is>
      </c>
      <c r="F118" s="9" t="n">
        <v>1</v>
      </c>
      <c r="G118" s="9" t="n">
        <v>0.9405768040568762</v>
      </c>
      <c r="H118" s="9" t="n">
        <v>0.99999999998</v>
      </c>
      <c r="I118" s="9" t="n">
        <v>1</v>
      </c>
      <c r="J118" t="inlineStr"/>
    </row>
    <row r="119">
      <c r="A119" t="inlineStr">
        <is>
          <t>LAW_E_017</t>
        </is>
      </c>
      <c r="B119" t="inlineStr">
        <is>
          <t>E</t>
        </is>
      </c>
      <c r="C119" t="inlineStr">
        <is>
          <t>Hard</t>
        </is>
      </c>
      <c r="D119" t="inlineStr">
        <is>
          <t>OK</t>
        </is>
      </c>
      <c r="E119" t="inlineStr">
        <is>
          <t>OK</t>
        </is>
      </c>
      <c r="F119" s="9" t="n">
        <v>1</v>
      </c>
      <c r="G119" s="9" t="n">
        <v>0.973622223050476</v>
      </c>
      <c r="H119" s="9" t="n">
        <v>0.9999999999666667</v>
      </c>
      <c r="I119" s="9" t="n">
        <v>1</v>
      </c>
      <c r="J119" t="inlineStr"/>
    </row>
    <row r="120">
      <c r="A120" t="inlineStr">
        <is>
          <t>LAW_E_018</t>
        </is>
      </c>
      <c r="B120" t="inlineStr">
        <is>
          <t>E</t>
        </is>
      </c>
      <c r="C120" t="inlineStr">
        <is>
          <t>Hard</t>
        </is>
      </c>
      <c r="D120" t="inlineStr">
        <is>
          <t>OK</t>
        </is>
      </c>
      <c r="E120" t="inlineStr">
        <is>
          <t>LLM_ANSWER</t>
        </is>
      </c>
      <c r="F120" s="9" t="n">
        <v>0.8571428571428571</v>
      </c>
      <c r="G120" s="9" t="n">
        <v>0.9490195245458618</v>
      </c>
      <c r="H120" s="9" t="n">
        <v>0.499999999975</v>
      </c>
      <c r="I120" s="9" t="n">
        <v>1</v>
      </c>
      <c r="J120" t="inlineStr"/>
    </row>
    <row r="121">
      <c r="A121" t="inlineStr">
        <is>
          <t>LAW_E_019</t>
        </is>
      </c>
      <c r="B121" t="inlineStr">
        <is>
          <t>E</t>
        </is>
      </c>
      <c r="C121" t="inlineStr">
        <is>
          <t>Hard</t>
        </is>
      </c>
      <c r="D121" t="inlineStr">
        <is>
          <t>OK</t>
        </is>
      </c>
      <c r="E121" t="inlineStr">
        <is>
          <t>WRONG_SOURCE_ANSWER</t>
        </is>
      </c>
      <c r="F121" s="9" t="n">
        <v>1</v>
      </c>
      <c r="G121" s="9" t="n">
        <v>0.9590400833884177</v>
      </c>
      <c r="H121" s="9" t="n">
        <v>0.249999999975</v>
      </c>
      <c r="I121" s="9" t="n">
        <v>0</v>
      </c>
      <c r="J121" t="inlineStr"/>
    </row>
    <row r="122">
      <c r="A122" t="inlineStr">
        <is>
          <t>LAW_E_020</t>
        </is>
      </c>
      <c r="B122" t="inlineStr">
        <is>
          <t>E</t>
        </is>
      </c>
      <c r="C122" t="inlineStr">
        <is>
          <t>Hard</t>
        </is>
      </c>
      <c r="D122" t="inlineStr">
        <is>
          <t>OK</t>
        </is>
      </c>
      <c r="E122" t="inlineStr">
        <is>
          <t>OK</t>
        </is>
      </c>
      <c r="F122" s="9" t="n">
        <v>1</v>
      </c>
      <c r="G122" s="9" t="n">
        <v>0.9652798502150046</v>
      </c>
      <c r="H122" s="9" t="n">
        <v>0.8041666666465626</v>
      </c>
      <c r="I122" s="9" t="n">
        <v>1</v>
      </c>
      <c r="J12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4" customWidth="1" min="1" max="1"/>
    <col width="60" customWidth="1" min="2" max="2"/>
    <col width="8" customWidth="1" min="3" max="3"/>
    <col width="8" customWidth="1" min="4" max="4"/>
    <col width="90" customWidth="1" min="5" max="5"/>
  </cols>
  <sheetData>
    <row r="1">
      <c r="A1" s="8" t="inlineStr">
        <is>
          <t>Phân tích sai lệch theo tầng (cây quyết định mục 7 quy trình QA)</t>
        </is>
      </c>
    </row>
    <row r="2">
      <c r="A2" s="2" t="inlineStr">
        <is>
          <t>Stage</t>
        </is>
      </c>
      <c r="B2" s="2" t="inlineStr">
        <is>
          <t>Meaning</t>
        </is>
      </c>
      <c r="C2" s="2" t="inlineStr">
        <is>
          <t>Cases</t>
        </is>
      </c>
      <c r="D2" s="2" t="inlineStr">
        <is>
          <t>Share</t>
        </is>
      </c>
      <c r="E2" s="2" t="inlineStr">
        <is>
          <t>IDs</t>
        </is>
      </c>
    </row>
    <row r="3">
      <c r="A3" s="6" t="inlineStr">
        <is>
          <t>OK</t>
        </is>
      </c>
      <c r="B3" s="6" t="inlineStr">
        <is>
          <t>Đạt</t>
        </is>
      </c>
      <c r="C3" s="6" t="n">
        <v>44</v>
      </c>
      <c r="D3" s="10" t="n">
        <v>0.44</v>
      </c>
      <c r="E3" s="6" t="inlineStr">
        <is>
          <t>LAW_A_001, LAW_A_002, LAW_A_003, LAW_A_004, LAW_A_005, LAW_A_006, LAW_A_008, LAW_A_010, LAW_A_012, LAW_A_013, LAW_A_014, LAW_A_015, LAW_A_016, LAW_A_018, LAW_B_001, LAW_B_003, LAW_B_005, LAW_B_009, LAW_B_012, LAW_B_017, LAW_C_006, LAW_C_007, LAW_C_012, LAW_C_013, LAW_C_014, LAW_D_002, LAW_D_003, LAW_D_005, LAW_D_006, LAW_D_009, LAW_D_011, LAW_D_012, LAW_D_014, LAW_D_016, LAW_D_019, LAW_E_002, LAW_E_004, LAW_E_005, LAW_E_006, LAW_E_007, LAW_E_008, LAW_E_015, LAW_E_017, LAW_E_020</t>
        </is>
      </c>
    </row>
    <row r="4">
      <c r="A4" s="6" t="inlineStr">
        <is>
          <t>WRONG_SOURCE_ANSWER</t>
        </is>
      </c>
      <c r="B4" s="6" t="inlineStr">
        <is>
          <t>Không có đoạn đúng trong ngữ cảnh nhưng LLM vẫn trả lời (từ nguồn khác)</t>
        </is>
      </c>
      <c r="C4" s="6" t="n">
        <v>16</v>
      </c>
      <c r="D4" s="10" t="n">
        <v>0.16</v>
      </c>
      <c r="E4" s="6" t="inlineStr">
        <is>
          <t>LAW_A_007, LAW_A_011, LAW_A_017, LAW_B_002, LAW_B_010, LAW_B_011, LAW_B_013, LAW_C_009, LAW_C_010, LAW_C_017, LAW_D_010, LAW_E_010, LAW_E_011, LAW_E_013, LAW_E_014, LAW_E_019</t>
        </is>
      </c>
    </row>
    <row r="5">
      <c r="A5" s="6" t="inlineStr">
        <is>
          <t>LLM_ANSWER</t>
        </is>
      </c>
      <c r="B5" s="6" t="inlineStr">
        <is>
          <t>Đoạn đúng có trong ngữ cảnh nhưng câu trả lời sai/thiếu</t>
        </is>
      </c>
      <c r="C5" s="6" t="n">
        <v>15</v>
      </c>
      <c r="D5" s="10" t="n">
        <v>0.15</v>
      </c>
      <c r="E5" s="6" t="inlineStr">
        <is>
          <t>LAW_A_009, LAW_A_020, LAW_B_008, LAW_C_001, LAW_C_008, LAW_C_011, LAW_D_001, LAW_D_007, LAW_D_008, LAW_E_001, LAW_E_003, LAW_E_009, LAW_E_012, LAW_E_016, LAW_E_018</t>
        </is>
      </c>
    </row>
    <row r="6">
      <c r="A6" s="6" t="inlineStr">
        <is>
          <t>THRESHOLD_CUT</t>
        </is>
      </c>
      <c r="B6" s="6" t="inlineStr">
        <is>
          <t>Có trong top 5 nhưng điểm rerank dưới ngưỡng 0,35</t>
        </is>
      </c>
      <c r="C6" s="6" t="n">
        <v>9</v>
      </c>
      <c r="D6" s="10" t="n">
        <v>0.09</v>
      </c>
      <c r="E6" s="6" t="inlineStr">
        <is>
          <t>LAW_B_016, LAW_B_019, LAW_B_020, LAW_C_002, LAW_C_004, LAW_C_005, LAW_C_020, LAW_D_004, LAW_D_020</t>
        </is>
      </c>
    </row>
    <row r="7">
      <c r="A7" s="6" t="inlineStr">
        <is>
          <t>RETRIEVAL_MISS</t>
        </is>
      </c>
      <c r="B7" s="6" t="inlineStr">
        <is>
          <t>Không tìm thấy: đoạn đúng không có trong ứng viên hybrid</t>
        </is>
      </c>
      <c r="C7" s="6" t="n">
        <v>7</v>
      </c>
      <c r="D7" s="10" t="n">
        <v>0.07000000000000001</v>
      </c>
      <c r="E7" s="6" t="inlineStr">
        <is>
          <t>LAW_B_004, LAW_B_006, LAW_B_007, LAW_B_014, LAW_B_015, LAW_C_019, LAW_D_013</t>
        </is>
      </c>
    </row>
    <row r="8">
      <c r="A8" s="6" t="inlineStr">
        <is>
          <t>NO_GOLD</t>
        </is>
      </c>
      <c r="B8" s="6" t="inlineStr">
        <is>
          <t>Không gán được đoạn đúng (câu hỏi ngoài khả năng retrieval / cần xem lại test)</t>
        </is>
      </c>
      <c r="C8" s="6" t="n">
        <v>5</v>
      </c>
      <c r="D8" s="10" t="n">
        <v>0.05</v>
      </c>
      <c r="E8" s="6" t="inlineStr">
        <is>
          <t>LAW_A_019, LAW_B_018, LAW_C_016, LAW_C_018, LAW_D_018</t>
        </is>
      </c>
    </row>
    <row r="9">
      <c r="A9" s="6" t="inlineStr">
        <is>
          <t>RERANK_DROP</t>
        </is>
      </c>
      <c r="B9" s="6" t="inlineStr">
        <is>
          <t>Có trong ứng viên nhưng rerank đẩy khỏi top 5</t>
        </is>
      </c>
      <c r="C9" s="6" t="n">
        <v>4</v>
      </c>
      <c r="D9" s="10" t="n">
        <v>0.04</v>
      </c>
      <c r="E9" s="6" t="inlineStr">
        <is>
          <t>LAW_C_003, LAW_C_015, LAW_D_015, LAW_D_017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9" customWidth="1" min="1" max="1"/>
    <col width="34" customWidth="1" min="2" max="2"/>
    <col width="45" customWidth="1" min="3" max="3"/>
    <col width="40" customWidth="1" min="4" max="4"/>
    <col width="8" customWidth="1" min="5" max="5"/>
    <col width="8" customWidth="1" min="6" max="6"/>
    <col width="8" customWidth="1" min="7" max="7"/>
    <col width="14" customWidth="1" min="8" max="8"/>
    <col width="60" customWidth="1" min="9" max="9"/>
  </cols>
  <sheetData>
    <row r="1">
      <c r="A1" s="2" t="inlineStr">
        <is>
          <t>ID</t>
        </is>
      </c>
      <c r="B1" s="2" t="inlineStr">
        <is>
          <t>Test</t>
        </is>
      </c>
      <c r="C1" s="2" t="inlineStr">
        <is>
          <t>Request</t>
        </is>
      </c>
      <c r="D1" s="2" t="inlineStr">
        <is>
          <t>Expected</t>
        </is>
      </c>
      <c r="E1" s="2" t="inlineStr">
        <is>
          <t>HTTP status</t>
        </is>
      </c>
      <c r="F1" s="2" t="inlineStr">
        <is>
          <t>Seconds</t>
        </is>
      </c>
      <c r="G1" s="2" t="inlineStr">
        <is>
          <t>Result</t>
        </is>
      </c>
      <c r="H1" s="2" t="inlineStr">
        <is>
          <t>LLM provider</t>
        </is>
      </c>
      <c r="I1" s="2" t="inlineStr">
        <is>
          <t>Response (excerpt)</t>
        </is>
      </c>
    </row>
    <row r="2">
      <c r="A2" t="inlineStr">
        <is>
          <t>API_01</t>
        </is>
      </c>
      <c r="B2" t="inlineStr">
        <is>
          <t>Health</t>
        </is>
      </c>
      <c r="C2" t="inlineStr">
        <is>
          <t xml:space="preserve">GET /health </t>
        </is>
      </c>
      <c r="D2" t="inlineStr">
        <is>
          <t>200, status=ok</t>
        </is>
      </c>
      <c r="E2" t="n">
        <v>200</v>
      </c>
      <c r="F2" t="n">
        <v>0</v>
      </c>
      <c r="G2" t="inlineStr">
        <is>
          <t>PASS</t>
        </is>
      </c>
      <c r="I2" t="inlineStr">
        <is>
          <t>{"status":"ok","device":"not_loaded"}</t>
        </is>
      </c>
    </row>
    <row r="3">
      <c r="A3" t="inlineStr">
        <is>
          <t>API_02</t>
        </is>
      </c>
      <c r="B3" t="inlineStr">
        <is>
          <t>Index status matches the build</t>
        </is>
      </c>
      <c r="C3" t="inlineStr">
        <is>
          <t xml:space="preserve">GET /api/pipeline/status </t>
        </is>
      </c>
      <c r="D3" t="inlineStr">
        <is>
          <t>200, 5 documents, chunks == vectors</t>
        </is>
      </c>
      <c r="E3" t="n">
        <v>200</v>
      </c>
      <c r="F3" t="n">
        <v>1.2</v>
      </c>
      <c r="G3" t="inlineStr">
        <is>
          <t>PASS</t>
        </is>
      </c>
      <c r="I3" t="inlineStr">
        <is>
          <t>{"pdf_documents":5,"pages":1428,"elements":21527,"chunks":4654,"vectors":4654,"embedding_model":"BAAI/bge-m3","device":"not_loaded","paths":{"raw":"/Users/hannguyen/Desktop/RagPipeline/data/raw","elements":"/Users/hannguyen/Desktop/RagPipeline/data/processed/elements.jsonl","pdf_extract":"/Users/han</t>
        </is>
      </c>
    </row>
    <row r="4">
      <c r="A4" t="inlineStr">
        <is>
          <t>API_03</t>
        </is>
      </c>
      <c r="B4" t="inlineStr">
        <is>
          <t>Chat without body</t>
        </is>
      </c>
      <c r="C4" t="inlineStr">
        <is>
          <t xml:space="preserve">POST /api/rag/chat </t>
        </is>
      </c>
      <c r="D4" t="inlineStr">
        <is>
          <t>422</t>
        </is>
      </c>
      <c r="E4" t="n">
        <v>422</v>
      </c>
      <c r="F4" t="n">
        <v>0</v>
      </c>
      <c r="G4" t="inlineStr">
        <is>
          <t>PASS</t>
        </is>
      </c>
      <c r="I4" t="inlineStr">
        <is>
          <t>{"detail":[{"type":"missing","loc":["body"],"msg":"Field required","input":null}]}</t>
        </is>
      </c>
    </row>
    <row r="5">
      <c r="A5" t="inlineStr">
        <is>
          <t>API_04</t>
        </is>
      </c>
      <c r="B5" t="inlineStr">
        <is>
          <t>Chat with empty object</t>
        </is>
      </c>
      <c r="C5" t="inlineStr">
        <is>
          <t>POST /api/rag/chat {}</t>
        </is>
      </c>
      <c r="D5" t="inlineStr">
        <is>
          <t>422 (query is required)</t>
        </is>
      </c>
      <c r="E5" t="n">
        <v>422</v>
      </c>
      <c r="F5" t="n">
        <v>0</v>
      </c>
      <c r="G5" t="inlineStr">
        <is>
          <t>PASS</t>
        </is>
      </c>
      <c r="I5" t="inlineStr">
        <is>
          <t>{"detail":[{"type":"missing","loc":["body","query"],"msg":"Field required","input":{}}]}</t>
        </is>
      </c>
    </row>
    <row r="6">
      <c r="A6" t="inlineStr">
        <is>
          <t>API_05</t>
        </is>
      </c>
      <c r="B6" t="inlineStr">
        <is>
          <t>Malformed JSON</t>
        </is>
      </c>
      <c r="C6" t="inlineStr">
        <is>
          <t xml:space="preserve">POST /api/rag/chat {query: </t>
        </is>
      </c>
      <c r="D6" t="inlineStr">
        <is>
          <t>422</t>
        </is>
      </c>
      <c r="E6" t="n">
        <v>422</v>
      </c>
      <c r="F6" t="n">
        <v>0</v>
      </c>
      <c r="G6" t="inlineStr">
        <is>
          <t>PASS</t>
        </is>
      </c>
      <c r="I6" t="inlineStr">
        <is>
          <t>{"detail":[{"type":"json_invalid","loc":["body",1],"msg":"JSON decode error","input":{},"ctx":{"error":"Expecting property name enclosed in double quotes"}}]}</t>
        </is>
      </c>
    </row>
    <row r="7">
      <c r="A7" t="inlineStr">
        <is>
          <t>API_06</t>
        </is>
      </c>
      <c r="B7" t="inlineStr">
        <is>
          <t>query is not a string</t>
        </is>
      </c>
      <c r="C7" t="inlineStr">
        <is>
          <t>POST /api/rag/chat {"query": 123}</t>
        </is>
      </c>
      <c r="D7" t="inlineStr">
        <is>
          <t>422</t>
        </is>
      </c>
      <c r="E7" t="n">
        <v>422</v>
      </c>
      <c r="F7" t="n">
        <v>0</v>
      </c>
      <c r="G7" t="inlineStr">
        <is>
          <t>PASS</t>
        </is>
      </c>
      <c r="I7" t="inlineStr">
        <is>
          <t>{"detail":[{"type":"string_type","loc":["body","query"],"msg":"Input should be a valid string","input":123}]}</t>
        </is>
      </c>
    </row>
    <row r="8">
      <c r="A8" t="inlineStr">
        <is>
          <t>API_07</t>
        </is>
      </c>
      <c r="B8" t="inlineStr">
        <is>
          <t>top_k = 0</t>
        </is>
      </c>
      <c r="C8" t="inlineStr">
        <is>
          <t>POST /api/rag/chat {"query": "thời giờ làm việc", "top_k": 0}</t>
        </is>
      </c>
      <c r="D8" t="inlineStr">
        <is>
          <t>422 (top_k &gt;= 1)</t>
        </is>
      </c>
      <c r="E8" t="n">
        <v>422</v>
      </c>
      <c r="F8" t="n">
        <v>0</v>
      </c>
      <c r="G8" t="inlineStr">
        <is>
          <t>PASS</t>
        </is>
      </c>
      <c r="I8" t="inlineStr">
        <is>
          <t>{"detail":[{"type":"greater_than_equal","loc":["body","top_k"],"msg":"Input should be greater than or equal to 1","input":0,"ctx":{"ge":1}}]}</t>
        </is>
      </c>
    </row>
    <row r="9">
      <c r="A9" t="inlineStr">
        <is>
          <t>API_08</t>
        </is>
      </c>
      <c r="B9" t="inlineStr">
        <is>
          <t>top_k = 31</t>
        </is>
      </c>
      <c r="C9" t="inlineStr">
        <is>
          <t>POST /api/rag/chat {"query": "thời giờ làm việc", "top_k": 31}</t>
        </is>
      </c>
      <c r="D9" t="inlineStr">
        <is>
          <t>422 (top_k &lt;= 30)</t>
        </is>
      </c>
      <c r="E9" t="n">
        <v>422</v>
      </c>
      <c r="F9" t="n">
        <v>0</v>
      </c>
      <c r="G9" t="inlineStr">
        <is>
          <t>PASS</t>
        </is>
      </c>
      <c r="I9" t="inlineStr">
        <is>
          <t>{"detail":[{"type":"less_than_equal","loc":["body","top_k"],"msg":"Input should be less than or equal to 30","input":31,"ctx":{"le":30}}]}</t>
        </is>
      </c>
    </row>
    <row r="10">
      <c r="A10" t="inlineStr">
        <is>
          <t>API_09</t>
        </is>
      </c>
      <c r="B10" t="inlineStr">
        <is>
          <t>threshold = 1.5</t>
        </is>
      </c>
      <c r="C10" t="inlineStr">
        <is>
          <t>POST /api/rag/chat {"query": "thời giờ làm việc", "threshold": 1.5}</t>
        </is>
      </c>
      <c r="D10" t="inlineStr">
        <is>
          <t>422 (0 &lt;= threshold &lt;= 1)</t>
        </is>
      </c>
      <c r="E10" t="n">
        <v>422</v>
      </c>
      <c r="F10" t="n">
        <v>0</v>
      </c>
      <c r="G10" t="inlineStr">
        <is>
          <t>PASS</t>
        </is>
      </c>
      <c r="I10" t="inlineStr">
        <is>
          <t>{"detail":[{"type":"less_than_equal","loc":["body","threshold"],"msg":"Input should be less than or equal to 1","input":1.5,"ctx":{"le":1.0}}]}</t>
        </is>
      </c>
    </row>
    <row r="11">
      <c r="A11" t="inlineStr">
        <is>
          <t>API_10</t>
        </is>
      </c>
      <c r="B11" t="inlineStr">
        <is>
          <t>top_n = 0</t>
        </is>
      </c>
      <c r="C11" t="inlineStr">
        <is>
          <t>POST /api/rag/chat {"query": "thời giờ làm việc", "top_n": 0}</t>
        </is>
      </c>
      <c r="D11" t="inlineStr">
        <is>
          <t>422 (top_n &gt;= 1)</t>
        </is>
      </c>
      <c r="E11" t="n">
        <v>422</v>
      </c>
      <c r="F11" t="n">
        <v>0</v>
      </c>
      <c r="G11" t="inlineStr">
        <is>
          <t>PASS</t>
        </is>
      </c>
      <c r="I11" t="inlineStr">
        <is>
          <t>{"detail":[{"type":"greater_than_equal","loc":["body","top_n"],"msg":"Input should be greater than or equal to 1","input":0,"ctx":{"ge":1}}]}</t>
        </is>
      </c>
    </row>
    <row r="12">
      <c r="A12" t="inlineStr">
        <is>
          <t>API_11</t>
        </is>
      </c>
      <c r="B12" t="inlineStr">
        <is>
          <t>Wrong method</t>
        </is>
      </c>
      <c r="C12" t="inlineStr">
        <is>
          <t xml:space="preserve">GET /api/rag/chat </t>
        </is>
      </c>
      <c r="D12" t="inlineStr">
        <is>
          <t>405</t>
        </is>
      </c>
      <c r="E12" t="n">
        <v>405</v>
      </c>
      <c r="F12" t="n">
        <v>0</v>
      </c>
      <c r="G12" t="inlineStr">
        <is>
          <t>PASS</t>
        </is>
      </c>
      <c r="I12" t="inlineStr">
        <is>
          <t>{"detail":"Method Not Allowed"}</t>
        </is>
      </c>
    </row>
    <row r="13">
      <c r="A13" t="inlineStr">
        <is>
          <t>API_12</t>
        </is>
      </c>
      <c r="B13" t="inlineStr">
        <is>
          <t>Empty query</t>
        </is>
      </c>
      <c r="C13" t="inlineStr">
        <is>
          <t>POST /api/rag/chat {"query": ""}</t>
        </is>
      </c>
      <c r="D13" t="inlineStr">
        <is>
          <t>400/422 or 200 with a friendly message</t>
        </is>
      </c>
      <c r="E13" t="n">
        <v>200</v>
      </c>
      <c r="F13" t="n">
        <v>0.4</v>
      </c>
      <c r="G13" t="inlineStr">
        <is>
          <t>PASS</t>
        </is>
      </c>
      <c r="I13" t="inlineStr">
        <is>
          <t>{"query":"","answer":"Vui lòng nhập câu hỏi hợp lệ.","citations":[],"image_urls":[],"logs":[]}</t>
        </is>
      </c>
    </row>
    <row r="14">
      <c r="A14" t="inlineStr">
        <is>
          <t>API_13</t>
        </is>
      </c>
      <c r="B14" t="inlineStr">
        <is>
          <t>Whitespace-only query</t>
        </is>
      </c>
      <c r="C14" t="inlineStr">
        <is>
          <t>POST /api/rag/chat {"query": "   \n  "}</t>
        </is>
      </c>
      <c r="D14" t="inlineStr">
        <is>
          <t>400/422 or 200 with a friendly message</t>
        </is>
      </c>
      <c r="E14" t="n">
        <v>200</v>
      </c>
      <c r="F14" t="n">
        <v>0</v>
      </c>
      <c r="G14" t="inlineStr">
        <is>
          <t>PASS</t>
        </is>
      </c>
      <c r="I14" t="inlineStr">
        <is>
          <t>{"query":"","answer":"Vui lòng nhập câu hỏi hợp lệ.","citations":[],"image_urls":[],"logs":[]}</t>
        </is>
      </c>
    </row>
    <row r="15">
      <c r="A15" t="inlineStr">
        <is>
          <t>API_14</t>
        </is>
      </c>
      <c r="B15" t="inlineStr">
        <is>
          <t>Unknown provider</t>
        </is>
      </c>
      <c r="C15" t="inlineStr">
        <is>
          <t>POST /api/rag/chat {"query": "Người lao động được nghỉ hằng năm bao nhiêu ngày?", "provider": "foo"}</t>
        </is>
      </c>
      <c r="D15" t="inlineStr">
        <is>
          <t>400/422 - must not silently answer with another provider</t>
        </is>
      </c>
      <c r="E15" t="n">
        <v>200</v>
      </c>
      <c r="F15" t="n">
        <v>28.9</v>
      </c>
      <c r="G15" t="inlineStr">
        <is>
          <t>FAIL</t>
        </is>
      </c>
      <c r="H15" t="inlineStr">
        <is>
          <t>MockProvider</t>
        </is>
      </c>
      <c r="I15" t="inlineStr">
        <is>
          <t>{"query":"Người lao động được nghỉ hằng năm bao nhiêu ngày?","answer":"Dựa trên tài liệu được cung cấp, hệ thống RAG vận hành theo quy trình gồm 3 giai đoạn chính: Indexing (chuẩn bị dữ liệu), Retrieval (truy xuất ngữ cảnh) và Generation (sinh câu trả lời tự nhiên) [SOURCE_1].","citations":[{"source</t>
        </is>
      </c>
    </row>
    <row r="16">
      <c r="A16" t="inlineStr">
        <is>
          <t>API_15</t>
        </is>
      </c>
      <c r="B16" t="inlineStr">
        <is>
          <t>Client selects the mock provider</t>
        </is>
      </c>
      <c r="C16" t="inlineStr">
        <is>
          <t>POST /api/rag/chat {"query": "Người lao động được nghỉ hằng năm bao nhiêu ngày?", "provider": "mock"}</t>
        </is>
      </c>
      <c r="D16" t="inlineStr">
        <is>
          <t>400/403/422 - production must not let clients pick mock</t>
        </is>
      </c>
      <c r="E16" t="n">
        <v>200</v>
      </c>
      <c r="F16" t="n">
        <v>14.1</v>
      </c>
      <c r="G16" t="inlineStr">
        <is>
          <t>FAIL</t>
        </is>
      </c>
      <c r="H16" t="inlineStr">
        <is>
          <t>MockProvider</t>
        </is>
      </c>
      <c r="I16" t="inlineStr">
        <is>
          <t>{"query":"Người lao động được nghỉ hằng năm bao nhiêu ngày?","answer":"Dựa trên tài liệu được cung cấp, hệ thống RAG vận hành theo quy trình gồm 3 giai đoạn chính: Indexing (chuẩn bị dữ liệu), Retrieval (truy xuất ngữ cảnh) và Generation (sinh câu trả lời tự nhiên) [SOURCE_1].","citations":[{"source</t>
        </is>
      </c>
    </row>
    <row r="17">
      <c r="A17" t="inlineStr">
        <is>
          <t>API_16</t>
        </is>
      </c>
      <c r="B17" t="inlineStr">
        <is>
          <t>LLM backend unavailable (ollama not running)</t>
        </is>
      </c>
      <c r="C17" t="inlineStr">
        <is>
          <t>POST /api/rag/chat {"query": "Người lao động được nghỉ hằng năm bao nhiêu ngày?", "provider": "ollama"}</t>
        </is>
      </c>
      <c r="D17" t="inlineStr">
        <is>
          <t>502/503 with a clear message, not 500</t>
        </is>
      </c>
      <c r="E17" t="n">
        <v>500</v>
      </c>
      <c r="F17" t="n">
        <v>14.2</v>
      </c>
      <c r="G17" t="inlineStr">
        <is>
          <t>FAIL</t>
        </is>
      </c>
      <c r="I17" t="inlineStr">
        <is>
          <t>{"detail":"RAG Chat lỗi: Không thể kết nối dịch vụ Ollama Local (http://localhost:11434): &lt;urlopen error [Errno 61] Connection refused&gt;"}</t>
        </is>
      </c>
    </row>
    <row r="18">
      <c r="A18" t="inlineStr">
        <is>
          <t>API_17</t>
        </is>
      </c>
      <c r="B18" t="inlineStr">
        <is>
          <t>5,000-character query</t>
        </is>
      </c>
      <c r="C18" t="inlineStr">
        <is>
          <t>POST /api/rag/chat {"query": "Người lao động được nghỉ hằng năm bao nhiêu ngày? Người lao động được nghỉ hằng năm bao nhiêu ngày? Người lao</t>
        </is>
      </c>
      <c r="D18" t="inlineStr">
        <is>
          <t>200, or 413/422 if a length limit is set; never 500</t>
        </is>
      </c>
      <c r="E18" t="n">
        <v>200</v>
      </c>
      <c r="F18" t="n">
        <v>68.90000000000001</v>
      </c>
      <c r="G18" t="inlineStr">
        <is>
          <t>PASS</t>
        </is>
      </c>
      <c r="H18" t="inlineStr">
        <is>
          <t>GeminiProvider</t>
        </is>
      </c>
      <c r="I18" t="inlineStr">
        <is>
          <t>{"query":"Người lao động được nghỉ hằng năm bao nhiêu ngày? Người lao động được nghỉ hằng năm bao nhiêu ngày? Người lao động được nghỉ hằng năm bao nhiêu ngày? Người lao động được nghỉ hằng năm bao nhiêu ngày? Người lao động được nghỉ hằng năm bao nhiêu ngày? Người lao động được nghỉ hằng năm bao nh</t>
        </is>
      </c>
    </row>
    <row r="19">
      <c r="A19" t="inlineStr">
        <is>
          <t>API_18</t>
        </is>
      </c>
      <c r="B19" t="inlineStr">
        <is>
          <t>Response schema on a normal question</t>
        </is>
      </c>
      <c r="C19" t="inlineStr">
        <is>
          <t>POST /api/rag/chat {"query": "Người lao động làm việc trong điều kiện bình thường được nghỉ hằng năm bao nhiêu ngày?"}</t>
        </is>
      </c>
      <c r="D19" t="inlineStr">
        <is>
          <t>200, keys answer, citations, image_urls, logs, query, total_duration_ms; &gt;= 1 citation with source_id/file/page</t>
        </is>
      </c>
      <c r="E19" t="n">
        <v>200</v>
      </c>
      <c r="F19" t="n">
        <v>16.5</v>
      </c>
      <c r="G19" t="inlineStr">
        <is>
          <t>PASS</t>
        </is>
      </c>
      <c r="H19" t="inlineStr">
        <is>
          <t>GeminiProvider</t>
        </is>
      </c>
      <c r="I19" t="inlineStr">
        <is>
          <t>{"query":"Người lao động làm việc trong điều kiện bình thường được nghỉ hằng năm bao nhiêu ngày?","answer":"Người lao động làm việc trong điều kiện bình thường được nghỉ hằng năm **12 ngày làm việc** [SOURCE_1], [SOURCE_2], [SOURCE_3].","citations":[{"source_id":"SOURCE_1","file":"Văn-bản-hợp-nhất-1</t>
        </is>
      </c>
    </row>
    <row r="20">
      <c r="A20" t="inlineStr">
        <is>
          <t>API_19</t>
        </is>
      </c>
      <c r="B20" t="inlineStr">
        <is>
          <t>Emoji / special characters</t>
        </is>
      </c>
      <c r="C20" t="inlineStr">
        <is>
          <t>POST /api/rag/chat {"query": "😀😀 &lt;script&gt;alert(1)&lt;/script&gt; ' OR 1=1 --"}</t>
        </is>
      </c>
      <c r="D20" t="inlineStr">
        <is>
          <t>200, no 500</t>
        </is>
      </c>
      <c r="E20" t="n">
        <v>200</v>
      </c>
      <c r="F20" t="n">
        <v>14.2</v>
      </c>
      <c r="G20" t="inlineStr">
        <is>
          <t>PASS</t>
        </is>
      </c>
      <c r="I20" t="inlineStr">
        <is>
          <t>{"query":"😀😀 &lt;script&gt;alert(1)&lt;/script&gt; ' OR 1=1 --","answer":"Dựa trên tài liệu được cung cấp, tôi không tìm thấy thông tin để trả lời câu hỏi này.","citations":[],"image_urls":[],"total_duration_ms":14176.67,"logs":[{"stage":"hybrid_retrieval","count":11,"duration_ms":2633.62},{"stage":"re_ranking"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46" customWidth="1" min="1" max="1"/>
    <col width="14" customWidth="1" min="2" max="2"/>
    <col width="14" customWidth="1" min="3" max="3"/>
    <col width="10" customWidth="1" min="4" max="4"/>
    <col width="14" customWidth="1" min="5" max="5"/>
    <col width="10" customWidth="1" min="6" max="6"/>
    <col width="10" customWidth="1" min="7" max="7"/>
    <col width="50" customWidth="1" min="8" max="8"/>
  </cols>
  <sheetData>
    <row r="1">
      <c r="A1" s="4" t="inlineStr">
        <is>
          <t>Group 1 - Ingestion</t>
        </is>
      </c>
    </row>
    <row r="2">
      <c r="A2" s="2" t="inlineStr">
        <is>
          <t>Document</t>
        </is>
      </c>
      <c r="B2" s="2" t="inlineStr">
        <is>
          <t>PDF pages</t>
        </is>
      </c>
      <c r="C2" s="2" t="inlineStr">
        <is>
          <t>Pages with text missing</t>
        </is>
      </c>
      <c r="D2" s="2" t="inlineStr">
        <is>
          <t>Chunks</t>
        </is>
      </c>
      <c r="E2" s="2" t="inlineStr">
        <is>
          <t>Fragment rate /1000 words</t>
        </is>
      </c>
      <c r="F2" s="2" t="inlineStr">
        <is>
          <t>Odd chars</t>
        </is>
      </c>
      <c r="G2" s="2" t="inlineStr">
        <is>
          <t>Junk chunks</t>
        </is>
      </c>
      <c r="H2" s="2" t="inlineStr">
        <is>
          <t>Repeated lines (watermark)</t>
        </is>
      </c>
    </row>
    <row r="3">
      <c r="A3" t="inlineStr">
        <is>
          <t>ILO-VCCI_Labour-Law-Guide-Book-V04-Final.pdf</t>
        </is>
      </c>
      <c r="B3" t="n">
        <v>131</v>
      </c>
      <c r="C3" t="n">
        <v>0</v>
      </c>
      <c r="D3" t="n">
        <v>354</v>
      </c>
      <c r="E3" t="n">
        <v>7.8</v>
      </c>
      <c r="F3" t="n">
        <v>4</v>
      </c>
      <c r="G3" t="n">
        <v>0</v>
      </c>
      <c r="H3" t="inlineStr"/>
    </row>
    <row r="4">
      <c r="A4" t="inlineStr">
        <is>
          <t>Văn-bản-hợp-nhất-18-VBHN-VPQH.pdf</t>
        </is>
      </c>
      <c r="B4" t="n">
        <v>86</v>
      </c>
      <c r="C4" t="n">
        <v>0</v>
      </c>
      <c r="D4" t="n">
        <v>290</v>
      </c>
      <c r="E4" t="n">
        <v>2.2</v>
      </c>
      <c r="F4" t="n">
        <v>0</v>
      </c>
      <c r="G4" t="n">
        <v>0</v>
      </c>
      <c r="H4" t="inlineStr"/>
    </row>
    <row r="5">
      <c r="A5" t="inlineStr">
        <is>
          <t>giao trinh Luat lao dong CB 2005 (1).pdf</t>
        </is>
      </c>
      <c r="B5" t="n">
        <v>210</v>
      </c>
      <c r="C5" t="n">
        <v>0</v>
      </c>
      <c r="D5" t="n">
        <v>623</v>
      </c>
      <c r="E5" t="n">
        <v>3.8</v>
      </c>
      <c r="F5" t="n">
        <v>0</v>
      </c>
      <c r="G5" t="n">
        <v>0</v>
      </c>
      <c r="H5" t="inlineStr"/>
    </row>
    <row r="6">
      <c r="A6" t="inlineStr">
        <is>
          <t>luu-ban-nhap-tu-dong-3-4.pdf</t>
        </is>
      </c>
      <c r="B6" t="n">
        <v>951</v>
      </c>
      <c r="C6" t="n">
        <v>0</v>
      </c>
      <c r="D6" t="n">
        <v>3286</v>
      </c>
      <c r="E6" t="n">
        <v>8</v>
      </c>
      <c r="F6" t="n">
        <v>12</v>
      </c>
      <c r="G6" t="n">
        <v>36</v>
      </c>
      <c r="H6" t="inlineStr">
        <is>
          <t>x461: IMkapalaue web:
x416: fdva va vn</t>
        </is>
      </c>
    </row>
    <row r="7">
      <c r="A7" t="inlineStr">
        <is>
          <t>so-tay-kien-thuc-phap-luat-lao-dong-cdi.pdf</t>
        </is>
      </c>
      <c r="B7" t="n">
        <v>56</v>
      </c>
      <c r="C7" t="n">
        <v>0</v>
      </c>
      <c r="D7" t="n">
        <v>101</v>
      </c>
      <c r="E7" t="n">
        <v>2</v>
      </c>
      <c r="F7" t="n">
        <v>0</v>
      </c>
      <c r="G7" t="n">
        <v>0</v>
      </c>
      <c r="H7" t="inlineStr">
        <is>
          <t>x33: ### Trả lời:
x8: AI Description:</t>
        </is>
      </c>
    </row>
    <row r="9">
      <c r="A9" s="4" t="inlineStr">
        <is>
          <t>Group 2 - Chunking</t>
        </is>
      </c>
      <c r="B9" t="inlineStr">
        <is>
          <t>4654 chunks, 4654 unique ids, tokens p50 421, max 794</t>
        </is>
      </c>
    </row>
    <row r="10">
      <c r="A10" t="inlineStr">
        <is>
          <t>starts_mid_sentence</t>
        </is>
      </c>
      <c r="B10" t="n">
        <v>695</v>
      </c>
      <c r="C10" t="inlineStr">
        <is>
          <t>so-tay-kien-thuc-phap-luat-lao-dong-cdi_sec_02_chunk_02, so-tay-kien-thuc-phap-luat-lao-dong-cdi_sec_26_chunk_26, so-tay-kien-thuc-phap-luat-lao-dong-cdi_sec_56_chunk_56, so-tay-kien-thuc-phap-luat-lao-dong-cdi_sec_72_chunk_72, so-tay-kien-thuc-phap-luat-lao-dong-cdi_sec_78_chunk_78</t>
        </is>
      </c>
    </row>
    <row r="12">
      <c r="A12" s="4" t="inlineStr">
        <is>
          <t>Group 5 - Citations</t>
        </is>
      </c>
      <c r="B12" t="inlineStr">
        <is>
          <t>answered 75, with &gt;= 1 citation 70, cites expected doc 59</t>
        </is>
      </c>
    </row>
    <row r="13">
      <c r="A13" t="inlineStr">
        <is>
          <t>no_citation</t>
        </is>
      </c>
      <c r="B13" t="n">
        <v>5</v>
      </c>
      <c r="C13" t="inlineStr">
        <is>
          <t>LAW_C_008, LAW_D_007, LAW_D_010, LAW_E_001, LAW_E_016</t>
        </is>
      </c>
    </row>
    <row r="14">
      <c r="A14" t="inlineStr">
        <is>
          <t>combined_tag_cases</t>
        </is>
      </c>
      <c r="B14" t="n">
        <v>8</v>
      </c>
      <c r="C14" t="inlineStr">
        <is>
          <t>LAW_A_011, LAW_C_008, LAW_D_007, LAW_D_010, LAW_D_011, LAW_D_019, LAW_E_001, LAW_E_016</t>
        </is>
      </c>
    </row>
    <row r="15">
      <c r="A15" t="inlineStr">
        <is>
          <t>dropped_tag_cases</t>
        </is>
      </c>
      <c r="B15" t="n">
        <v>6</v>
      </c>
      <c r="C15" t="inlineStr">
        <is>
          <t>LAW_C_008, LAW_D_007, LAW_D_010, LAW_D_011, LAW_E_001, LAW_E_016</t>
        </is>
      </c>
    </row>
    <row r="16">
      <c r="A16" t="inlineStr">
        <is>
          <t>invented_tag_cases</t>
        </is>
      </c>
      <c r="B16" t="n">
        <v>0</v>
      </c>
      <c r="C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2026-10-21T08:08:50Z</dcterms:created>
  <dcterms:modified xmlns:dcterms="http://purl.org/dc/terms/" xmlns:xsi="http://www.w3.org/2001/XMLSchema-instance" xsi:type="dcterms:W3CDTF">2026-10-21T08:08:52Z</dcterms:modified>
</cp:coreProperties>
</file>