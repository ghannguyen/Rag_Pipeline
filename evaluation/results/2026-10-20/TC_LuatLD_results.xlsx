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 xmlns:r="http://schemas.openxmlformats.org/officeDocument/2006/relationships" name="Regression" sheetId="4" state="visible" r:id="rId4"/>
    <sheet xmlns:r="http://schemas.openxmlformats.org/officeDocument/2006/relationships" name="Defects" sheetId="5" state="visible" r:id="rId5"/>
    <sheet xmlns:r="http://schemas.openxmlformats.org/officeDocument/2006/relationships" name="Environment" sheetId="6" state="visible" r:id="rId6"/>
  </sheets>
  <definedNames>
    <definedName name="_xlnm._FilterDatabase" localSheetId="1" hidden="1">'Results'!$A$1:$AC$101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font>
    <font>
      <b val="1"/>
      <sz val="14"/>
    </font>
    <font>
      <b val="1"/>
    </font>
    <font>
      <b val="1"/>
      <sz val="13"/>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1" fillId="2" borderId="0" applyAlignment="1" pivotButton="0" quotePrefix="0" xfId="0">
      <alignment vertical="center" wrapText="1"/>
    </xf>
    <xf numFmtId="164" fontId="0" fillId="0" borderId="0" pivotButton="0" quotePrefix="0" xfId="0"/>
    <xf numFmtId="0" fontId="3" fillId="0" borderId="0" pivotButton="0" quotePrefix="0" xfId="0"/>
    <xf numFmtId="9" fontId="0" fillId="0"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xf numFmtId="0" fontId="4" fillId="0" borderId="0" pivotButton="0" quotePrefix="0" xfId="0"/>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TC_LuatLD — Test Summary</t>
        </is>
      </c>
    </row>
    <row r="2">
      <c r="A2" t="inlineStr">
        <is>
          <t>Effective Status = Final Status (tester) nếu đã điền, nếu không = Suggested Status (tự động).</t>
        </is>
      </c>
    </row>
    <row r="4">
      <c r="A4" s="2" t="inlineStr">
        <is>
          <t>Status</t>
        </is>
      </c>
      <c r="B4" s="2" t="inlineStr">
        <is>
          <t>Count</t>
        </is>
      </c>
      <c r="C4" s="2" t="inlineStr">
        <is>
          <t>Rate</t>
        </is>
      </c>
    </row>
    <row r="5">
      <c r="A5" t="inlineStr">
        <is>
          <t>PASS</t>
        </is>
      </c>
      <c r="B5">
        <f>COUNTIF(Results!$AA$2:$AA$101,"PASS")</f>
        <v/>
      </c>
      <c r="C5" s="3">
        <f>B5/100</f>
        <v/>
      </c>
    </row>
    <row r="6">
      <c r="A6" t="inlineStr">
        <is>
          <t>PARTIAL</t>
        </is>
      </c>
      <c r="B6">
        <f>COUNTIF(Results!$AA$2:$AA$101,"PARTIAL")</f>
        <v/>
      </c>
      <c r="C6" s="3">
        <f>B6/100</f>
        <v/>
      </c>
    </row>
    <row r="7">
      <c r="A7" t="inlineStr">
        <is>
          <t>FAIL</t>
        </is>
      </c>
      <c r="B7">
        <f>COUNTIF(Results!$AA$2:$AA$101,"FAIL")</f>
        <v/>
      </c>
      <c r="C7" s="3">
        <f>B7/100</f>
        <v/>
      </c>
    </row>
    <row r="8">
      <c r="A8" t="inlineStr">
        <is>
          <t>BLOCKED</t>
        </is>
      </c>
      <c r="B8">
        <f>COUNTIF(Results!$AA$2:$AA$101,"BLOCKED")</f>
        <v/>
      </c>
      <c r="C8" s="3">
        <f>B8/100</f>
        <v/>
      </c>
    </row>
    <row r="9">
      <c r="A9" t="inlineStr">
        <is>
          <t>Total</t>
        </is>
      </c>
      <c r="B9">
        <f>SUM(B5:B8)</f>
        <v/>
      </c>
    </row>
    <row r="10">
      <c r="A10" t="inlineStr">
        <is>
          <t>Reviewed by tester</t>
        </is>
      </c>
      <c r="B10">
        <f>COUNTA(Results!Z2:Z101)</f>
        <v/>
      </c>
    </row>
    <row r="11">
      <c r="A11" t="inlineStr">
        <is>
          <t>Median latency (s)</t>
        </is>
      </c>
      <c r="B11" t="n">
        <v>20.5</v>
      </c>
    </row>
    <row r="13">
      <c r="A13" s="4" t="inlineStr">
        <is>
          <t>Theo tài liệu</t>
        </is>
      </c>
    </row>
    <row r="14">
      <c r="A14" s="2" t="inlineStr">
        <is>
          <t>Document</t>
        </is>
      </c>
      <c r="B14" s="2" t="inlineStr">
        <is>
          <t>Total</t>
        </is>
      </c>
      <c r="C14" s="2" t="inlineStr">
        <is>
          <t>PASS</t>
        </is>
      </c>
      <c r="D14" s="2" t="inlineStr">
        <is>
          <t>PARTIAL</t>
        </is>
      </c>
      <c r="E14" s="2" t="inlineStr">
        <is>
          <t>FAIL</t>
        </is>
      </c>
      <c r="F14" s="2" t="inlineStr">
        <is>
          <t>BLOCKED</t>
        </is>
      </c>
      <c r="G14" s="2" t="inlineStr">
        <is>
          <t>Pass rate</t>
        </is>
      </c>
    </row>
    <row r="15">
      <c r="A15" t="inlineStr">
        <is>
          <t>giao trinh Luat lao dong CB 2005 (1)</t>
        </is>
      </c>
      <c r="B15">
        <f>COUNTIF(Results!$N$2:$N$101,A15)</f>
        <v/>
      </c>
      <c r="C15">
        <f>COUNTIFS(Results!$N$2:$N$101,A15,Results!$AA$2:$AA$101,"PASS")</f>
        <v/>
      </c>
      <c r="D15">
        <f>COUNTIFS(Results!$N$2:$N$101,A15,Results!$AA$2:$AA$101,"PARTIAL")</f>
        <v/>
      </c>
      <c r="E15">
        <f>COUNTIFS(Results!$N$2:$N$101,A15,Results!$AA$2:$AA$101,"FAIL")</f>
        <v/>
      </c>
      <c r="F15">
        <f>COUNTIFS(Results!$N$2:$N$101,A15,Results!$AA$2:$AA$101,"BLOCKED")</f>
        <v/>
      </c>
      <c r="G15">
        <f>IF(B15=0,0,C15/B15)</f>
        <v/>
      </c>
      <c r="H15" s="5" t="n"/>
    </row>
    <row r="16">
      <c r="A16" t="inlineStr">
        <is>
          <t>so-tay-kien-thuc-phap-luat-lao-dong-cdi</t>
        </is>
      </c>
      <c r="B16">
        <f>COUNTIF(Results!$N$2:$N$101,A16)</f>
        <v/>
      </c>
      <c r="C16">
        <f>COUNTIFS(Results!$N$2:$N$101,A16,Results!$AA$2:$AA$101,"PASS")</f>
        <v/>
      </c>
      <c r="D16">
        <f>COUNTIFS(Results!$N$2:$N$101,A16,Results!$AA$2:$AA$101,"PARTIAL")</f>
        <v/>
      </c>
      <c r="E16">
        <f>COUNTIFS(Results!$N$2:$N$101,A16,Results!$AA$2:$AA$101,"FAIL")</f>
        <v/>
      </c>
      <c r="F16">
        <f>COUNTIFS(Results!$N$2:$N$101,A16,Results!$AA$2:$AA$101,"BLOCKED")</f>
        <v/>
      </c>
      <c r="G16">
        <f>IF(B16=0,0,C16/B16)</f>
        <v/>
      </c>
      <c r="H16" s="5" t="n"/>
    </row>
    <row r="17">
      <c r="A17" t="inlineStr">
        <is>
          <t>luu-ban-nhap-tu-dong-3-4</t>
        </is>
      </c>
      <c r="B17">
        <f>COUNTIF(Results!$N$2:$N$101,A17)</f>
        <v/>
      </c>
      <c r="C17">
        <f>COUNTIFS(Results!$N$2:$N$101,A17,Results!$AA$2:$AA$101,"PASS")</f>
        <v/>
      </c>
      <c r="D17">
        <f>COUNTIFS(Results!$N$2:$N$101,A17,Results!$AA$2:$AA$101,"PARTIAL")</f>
        <v/>
      </c>
      <c r="E17">
        <f>COUNTIFS(Results!$N$2:$N$101,A17,Results!$AA$2:$AA$101,"FAIL")</f>
        <v/>
      </c>
      <c r="F17">
        <f>COUNTIFS(Results!$N$2:$N$101,A17,Results!$AA$2:$AA$101,"BLOCKED")</f>
        <v/>
      </c>
      <c r="G17">
        <f>IF(B17=0,0,C17/B17)</f>
        <v/>
      </c>
      <c r="H17" s="5" t="n"/>
    </row>
    <row r="18">
      <c r="A18" t="inlineStr">
        <is>
          <t>ILO-VCCI_Labour-Law-Guide-Book-V04-Final</t>
        </is>
      </c>
      <c r="B18">
        <f>COUNTIF(Results!$N$2:$N$101,A18)</f>
        <v/>
      </c>
      <c r="C18">
        <f>COUNTIFS(Results!$N$2:$N$101,A18,Results!$AA$2:$AA$101,"PASS")</f>
        <v/>
      </c>
      <c r="D18">
        <f>COUNTIFS(Results!$N$2:$N$101,A18,Results!$AA$2:$AA$101,"PARTIAL")</f>
        <v/>
      </c>
      <c r="E18">
        <f>COUNTIFS(Results!$N$2:$N$101,A18,Results!$AA$2:$AA$101,"FAIL")</f>
        <v/>
      </c>
      <c r="F18">
        <f>COUNTIFS(Results!$N$2:$N$101,A18,Results!$AA$2:$AA$101,"BLOCKED")</f>
        <v/>
      </c>
      <c r="G18">
        <f>IF(B18=0,0,C18/B18)</f>
        <v/>
      </c>
      <c r="H18" s="5" t="n"/>
    </row>
    <row r="19">
      <c r="A19" t="inlineStr">
        <is>
          <t>Văn-bản-hợp-nhất-18-VBHN-VPQH</t>
        </is>
      </c>
      <c r="B19">
        <f>COUNTIF(Results!$N$2:$N$101,A19)</f>
        <v/>
      </c>
      <c r="C19">
        <f>COUNTIFS(Results!$N$2:$N$101,A19,Results!$AA$2:$AA$101,"PASS")</f>
        <v/>
      </c>
      <c r="D19">
        <f>COUNTIFS(Results!$N$2:$N$101,A19,Results!$AA$2:$AA$101,"PARTIAL")</f>
        <v/>
      </c>
      <c r="E19">
        <f>COUNTIFS(Results!$N$2:$N$101,A19,Results!$AA$2:$AA$101,"FAIL")</f>
        <v/>
      </c>
      <c r="F19">
        <f>COUNTIFS(Results!$N$2:$N$101,A19,Results!$AA$2:$AA$101,"BLOCKED")</f>
        <v/>
      </c>
      <c r="G19">
        <f>IF(B19=0,0,C19/B19)</f>
        <v/>
      </c>
      <c r="H19" s="5" t="n"/>
    </row>
    <row r="21">
      <c r="A21" s="4" t="inlineStr">
        <is>
          <t>Theo độ khó</t>
        </is>
      </c>
    </row>
    <row r="22">
      <c r="A22" s="2" t="inlineStr">
        <is>
          <t>Retrieval Difficulty</t>
        </is>
      </c>
      <c r="B22" s="2" t="inlineStr">
        <is>
          <t>Total</t>
        </is>
      </c>
      <c r="C22" s="2" t="inlineStr">
        <is>
          <t>PASS</t>
        </is>
      </c>
      <c r="D22" s="2" t="inlineStr">
        <is>
          <t>PARTIAL</t>
        </is>
      </c>
      <c r="E22" s="2" t="inlineStr">
        <is>
          <t>FAIL</t>
        </is>
      </c>
      <c r="F22" s="2" t="inlineStr">
        <is>
          <t>BLOCKED</t>
        </is>
      </c>
      <c r="G22" s="2" t="inlineStr">
        <is>
          <t>Pass rate</t>
        </is>
      </c>
      <c r="H22" s="2" t="n"/>
    </row>
    <row r="23">
      <c r="A23" t="inlineStr">
        <is>
          <t>Easy</t>
        </is>
      </c>
      <c r="B23">
        <f>COUNTIF(Results!$I$2:$I$101,A23)</f>
        <v/>
      </c>
      <c r="C23">
        <f>COUNTIFS(Results!$I$2:$I$101,A23,Results!$AA$2:$AA$101,"PASS")</f>
        <v/>
      </c>
      <c r="D23">
        <f>COUNTIFS(Results!$I$2:$I$101,A23,Results!$AA$2:$AA$101,"PARTIAL")</f>
        <v/>
      </c>
      <c r="E23">
        <f>COUNTIFS(Results!$I$2:$I$101,A23,Results!$AA$2:$AA$101,"FAIL")</f>
        <v/>
      </c>
      <c r="F23">
        <f>COUNTIFS(Results!$I$2:$I$101,A23,Results!$AA$2:$AA$101,"BLOCKED")</f>
        <v/>
      </c>
      <c r="G23">
        <f>IF(B23=0,0,C23/B23)</f>
        <v/>
      </c>
      <c r="H23" s="5" t="n"/>
    </row>
    <row r="24">
      <c r="A24" t="inlineStr">
        <is>
          <t>Medium</t>
        </is>
      </c>
      <c r="B24">
        <f>COUNTIF(Results!$I$2:$I$101,A24)</f>
        <v/>
      </c>
      <c r="C24">
        <f>COUNTIFS(Results!$I$2:$I$101,A24,Results!$AA$2:$AA$101,"PASS")</f>
        <v/>
      </c>
      <c r="D24">
        <f>COUNTIFS(Results!$I$2:$I$101,A24,Results!$AA$2:$AA$101,"PARTIAL")</f>
        <v/>
      </c>
      <c r="E24">
        <f>COUNTIFS(Results!$I$2:$I$101,A24,Results!$AA$2:$AA$101,"FAIL")</f>
        <v/>
      </c>
      <c r="F24">
        <f>COUNTIFS(Results!$I$2:$I$101,A24,Results!$AA$2:$AA$101,"BLOCKED")</f>
        <v/>
      </c>
      <c r="G24">
        <f>IF(B24=0,0,C24/B24)</f>
        <v/>
      </c>
      <c r="H24" s="5" t="n"/>
    </row>
    <row r="25">
      <c r="A25" t="inlineStr">
        <is>
          <t>Hard</t>
        </is>
      </c>
      <c r="B25">
        <f>COUNTIF(Results!$I$2:$I$101,A25)</f>
        <v/>
      </c>
      <c r="C25">
        <f>COUNTIFS(Results!$I$2:$I$101,A25,Results!$AA$2:$AA$101,"PASS")</f>
        <v/>
      </c>
      <c r="D25">
        <f>COUNTIFS(Results!$I$2:$I$101,A25,Results!$AA$2:$AA$101,"PARTIAL")</f>
        <v/>
      </c>
      <c r="E25">
        <f>COUNTIFS(Results!$I$2:$I$101,A25,Results!$AA$2:$AA$101,"FAIL")</f>
        <v/>
      </c>
      <c r="F25">
        <f>COUNTIFS(Results!$I$2:$I$101,A25,Results!$AA$2:$AA$101,"BLOCKED")</f>
        <v/>
      </c>
      <c r="G25">
        <f>IF(B25=0,0,C25/B25)</f>
        <v/>
      </c>
      <c r="H25" s="5" t="n"/>
    </row>
    <row r="27">
      <c r="A27" s="4" t="inlineStr">
        <is>
          <t>Theo loại câu hỏi</t>
        </is>
      </c>
    </row>
    <row r="28">
      <c r="A28" s="2" t="inlineStr">
        <is>
          <t>Category</t>
        </is>
      </c>
      <c r="B28" s="2" t="inlineStr">
        <is>
          <t>Total</t>
        </is>
      </c>
      <c r="C28" s="2" t="inlineStr">
        <is>
          <t>PASS</t>
        </is>
      </c>
      <c r="D28" s="2" t="inlineStr">
        <is>
          <t>PARTIAL</t>
        </is>
      </c>
      <c r="E28" s="2" t="inlineStr">
        <is>
          <t>FAIL</t>
        </is>
      </c>
      <c r="F28" s="2" t="inlineStr">
        <is>
          <t>BLOCKED</t>
        </is>
      </c>
      <c r="G28" s="2" t="inlineStr">
        <is>
          <t>Pass rate</t>
        </is>
      </c>
      <c r="H28" s="2" t="n"/>
    </row>
    <row r="29">
      <c r="A29" t="inlineStr">
        <is>
          <t>Definition</t>
        </is>
      </c>
      <c r="B29">
        <f>COUNTIF(Results!$B$2:$B$101,A29)</f>
        <v/>
      </c>
      <c r="C29">
        <f>COUNTIFS(Results!$B$2:$B$101,A29,Results!$AA$2:$AA$101,"PASS")</f>
        <v/>
      </c>
      <c r="D29">
        <f>COUNTIFS(Results!$B$2:$B$101,A29,Results!$AA$2:$AA$101,"PARTIAL")</f>
        <v/>
      </c>
      <c r="E29">
        <f>COUNTIFS(Results!$B$2:$B$101,A29,Results!$AA$2:$AA$101,"FAIL")</f>
        <v/>
      </c>
      <c r="F29">
        <f>COUNTIFS(Results!$B$2:$B$101,A29,Results!$AA$2:$AA$101,"BLOCKED")</f>
        <v/>
      </c>
      <c r="G29">
        <f>IF(B29=0,0,C29/B29)</f>
        <v/>
      </c>
      <c r="H29" s="5" t="n"/>
    </row>
    <row r="30">
      <c r="A30" t="inlineStr">
        <is>
          <t>List</t>
        </is>
      </c>
      <c r="B30">
        <f>COUNTIF(Results!$B$2:$B$101,A30)</f>
        <v/>
      </c>
      <c r="C30">
        <f>COUNTIFS(Results!$B$2:$B$101,A30,Results!$AA$2:$AA$101,"PASS")</f>
        <v/>
      </c>
      <c r="D30">
        <f>COUNTIFS(Results!$B$2:$B$101,A30,Results!$AA$2:$AA$101,"PARTIAL")</f>
        <v/>
      </c>
      <c r="E30">
        <f>COUNTIFS(Results!$B$2:$B$101,A30,Results!$AA$2:$AA$101,"FAIL")</f>
        <v/>
      </c>
      <c r="F30">
        <f>COUNTIFS(Results!$B$2:$B$101,A30,Results!$AA$2:$AA$101,"BLOCKED")</f>
        <v/>
      </c>
      <c r="G30">
        <f>IF(B30=0,0,C30/B30)</f>
        <v/>
      </c>
      <c r="H30" s="5" t="n"/>
    </row>
    <row r="31">
      <c r="A31" t="inlineStr">
        <is>
          <t>Direct Fact</t>
        </is>
      </c>
      <c r="B31">
        <f>COUNTIF(Results!$B$2:$B$101,A31)</f>
        <v/>
      </c>
      <c r="C31">
        <f>COUNTIFS(Results!$B$2:$B$101,A31,Results!$AA$2:$AA$101,"PASS")</f>
        <v/>
      </c>
      <c r="D31">
        <f>COUNTIFS(Results!$B$2:$B$101,A31,Results!$AA$2:$AA$101,"PARTIAL")</f>
        <v/>
      </c>
      <c r="E31">
        <f>COUNTIFS(Results!$B$2:$B$101,A31,Results!$AA$2:$AA$101,"FAIL")</f>
        <v/>
      </c>
      <c r="F31">
        <f>COUNTIFS(Results!$B$2:$B$101,A31,Results!$AA$2:$AA$101,"BLOCKED")</f>
        <v/>
      </c>
      <c r="G31">
        <f>IF(B31=0,0,C31/B31)</f>
        <v/>
      </c>
      <c r="H31" s="5" t="n"/>
    </row>
    <row r="32">
      <c r="A32" t="inlineStr">
        <is>
          <t>Concept</t>
        </is>
      </c>
      <c r="B32">
        <f>COUNTIF(Results!$B$2:$B$101,A32)</f>
        <v/>
      </c>
      <c r="C32">
        <f>COUNTIFS(Results!$B$2:$B$101,A32,Results!$AA$2:$AA$101,"PASS")</f>
        <v/>
      </c>
      <c r="D32">
        <f>COUNTIFS(Results!$B$2:$B$101,A32,Results!$AA$2:$AA$101,"PARTIAL")</f>
        <v/>
      </c>
      <c r="E32">
        <f>COUNTIFS(Results!$B$2:$B$101,A32,Results!$AA$2:$AA$101,"FAIL")</f>
        <v/>
      </c>
      <c r="F32">
        <f>COUNTIFS(Results!$B$2:$B$101,A32,Results!$AA$2:$AA$101,"BLOCKED")</f>
        <v/>
      </c>
      <c r="G32">
        <f>IF(B32=0,0,C32/B32)</f>
        <v/>
      </c>
      <c r="H32" s="5" t="n"/>
    </row>
    <row r="33">
      <c r="A33" t="inlineStr">
        <is>
          <t>Rule</t>
        </is>
      </c>
      <c r="B33">
        <f>COUNTIF(Results!$B$2:$B$101,A33)</f>
        <v/>
      </c>
      <c r="C33">
        <f>COUNTIFS(Results!$B$2:$B$101,A33,Results!$AA$2:$AA$101,"PASS")</f>
        <v/>
      </c>
      <c r="D33">
        <f>COUNTIFS(Results!$B$2:$B$101,A33,Results!$AA$2:$AA$101,"PARTIAL")</f>
        <v/>
      </c>
      <c r="E33">
        <f>COUNTIFS(Results!$B$2:$B$101,A33,Results!$AA$2:$AA$101,"FAIL")</f>
        <v/>
      </c>
      <c r="F33">
        <f>COUNTIFS(Results!$B$2:$B$101,A33,Results!$AA$2:$AA$101,"BLOCKED")</f>
        <v/>
      </c>
      <c r="G33">
        <f>IF(B33=0,0,C33/B33)</f>
        <v/>
      </c>
      <c r="H33" s="5" t="n"/>
    </row>
    <row r="34">
      <c r="A34" t="inlineStr">
        <is>
          <t>Comparison</t>
        </is>
      </c>
      <c r="B34">
        <f>COUNTIF(Results!$B$2:$B$101,A34)</f>
        <v/>
      </c>
      <c r="C34">
        <f>COUNTIFS(Results!$B$2:$B$101,A34,Results!$AA$2:$AA$101,"PASS")</f>
        <v/>
      </c>
      <c r="D34">
        <f>COUNTIFS(Results!$B$2:$B$101,A34,Results!$AA$2:$AA$101,"PARTIAL")</f>
        <v/>
      </c>
      <c r="E34">
        <f>COUNTIFS(Results!$B$2:$B$101,A34,Results!$AA$2:$AA$101,"FAIL")</f>
        <v/>
      </c>
      <c r="F34">
        <f>COUNTIFS(Results!$B$2:$B$101,A34,Results!$AA$2:$AA$101,"BLOCKED")</f>
        <v/>
      </c>
      <c r="G34">
        <f>IF(B34=0,0,C34/B34)</f>
        <v/>
      </c>
      <c r="H34" s="5" t="n"/>
    </row>
    <row r="35">
      <c r="A35" t="inlineStr">
        <is>
          <t>Scenario-based</t>
        </is>
      </c>
      <c r="B35">
        <f>COUNTIF(Results!$B$2:$B$101,A35)</f>
        <v/>
      </c>
      <c r="C35">
        <f>COUNTIFS(Results!$B$2:$B$101,A35,Results!$AA$2:$AA$101,"PASS")</f>
        <v/>
      </c>
      <c r="D35">
        <f>COUNTIFS(Results!$B$2:$B$101,A35,Results!$AA$2:$AA$101,"PARTIAL")</f>
        <v/>
      </c>
      <c r="E35">
        <f>COUNTIFS(Results!$B$2:$B$101,A35,Results!$AA$2:$AA$101,"FAIL")</f>
        <v/>
      </c>
      <c r="F35">
        <f>COUNTIFS(Results!$B$2:$B$101,A35,Results!$AA$2:$AA$101,"BLOCKED")</f>
        <v/>
      </c>
      <c r="G35">
        <f>IF(B35=0,0,C35/B35)</f>
        <v/>
      </c>
      <c r="H35" s="5" t="n"/>
    </row>
    <row r="36">
      <c r="A36" t="inlineStr">
        <is>
          <t>Multi-hop</t>
        </is>
      </c>
      <c r="B36">
        <f>COUNTIF(Results!$B$2:$B$101,A36)</f>
        <v/>
      </c>
      <c r="C36">
        <f>COUNTIFS(Results!$B$2:$B$101,A36,Results!$AA$2:$AA$101,"PASS")</f>
        <v/>
      </c>
      <c r="D36">
        <f>COUNTIFS(Results!$B$2:$B$101,A36,Results!$AA$2:$AA$101,"PARTIAL")</f>
        <v/>
      </c>
      <c r="E36">
        <f>COUNTIFS(Results!$B$2:$B$101,A36,Results!$AA$2:$AA$101,"FAIL")</f>
        <v/>
      </c>
      <c r="F36">
        <f>COUNTIFS(Results!$B$2:$B$101,A36,Results!$AA$2:$AA$101,"BLOCKED")</f>
        <v/>
      </c>
      <c r="G36">
        <f>IF(B36=0,0,C36/B36)</f>
        <v/>
      </c>
      <c r="H36" s="5" t="n"/>
    </row>
    <row r="37">
      <c r="A37" t="inlineStr">
        <is>
          <t>Source-awareness</t>
        </is>
      </c>
      <c r="B37">
        <f>COUNTIF(Results!$B$2:$B$101,A37)</f>
        <v/>
      </c>
      <c r="C37">
        <f>COUNTIFS(Results!$B$2:$B$101,A37,Results!$AA$2:$AA$101,"PASS")</f>
        <v/>
      </c>
      <c r="D37">
        <f>COUNTIFS(Results!$B$2:$B$101,A37,Results!$AA$2:$AA$101,"PARTIAL")</f>
        <v/>
      </c>
      <c r="E37">
        <f>COUNTIFS(Results!$B$2:$B$101,A37,Results!$AA$2:$AA$101,"FAIL")</f>
        <v/>
      </c>
      <c r="F37">
        <f>COUNTIFS(Results!$B$2:$B$101,A37,Results!$AA$2:$AA$101,"BLOCKED")</f>
        <v/>
      </c>
      <c r="G37">
        <f>IF(B37=0,0,C37/B37)</f>
        <v/>
      </c>
      <c r="H37" s="5" t="n"/>
    </row>
    <row r="38">
      <c r="A38" t="inlineStr">
        <is>
          <t>Synthesis</t>
        </is>
      </c>
      <c r="B38">
        <f>COUNTIF(Results!$B$2:$B$101,A38)</f>
        <v/>
      </c>
      <c r="C38">
        <f>COUNTIFS(Results!$B$2:$B$101,A38,Results!$AA$2:$AA$101,"PASS")</f>
        <v/>
      </c>
      <c r="D38">
        <f>COUNTIFS(Results!$B$2:$B$101,A38,Results!$AA$2:$AA$101,"PARTIAL")</f>
        <v/>
      </c>
      <c r="E38">
        <f>COUNTIFS(Results!$B$2:$B$101,A38,Results!$AA$2:$AA$101,"FAIL")</f>
        <v/>
      </c>
      <c r="F38">
        <f>COUNTIFS(Results!$B$2:$B$101,A38,Results!$AA$2:$AA$101,"BLOCKED")</f>
        <v/>
      </c>
      <c r="G38">
        <f>IF(B38=0,0,C38/B38)</f>
        <v/>
      </c>
      <c r="H38" s="5" t="n"/>
    </row>
    <row r="39">
      <c r="A39" t="inlineStr">
        <is>
          <t>Navigation</t>
        </is>
      </c>
      <c r="B39">
        <f>COUNTIF(Results!$B$2:$B$101,A39)</f>
        <v/>
      </c>
      <c r="C39">
        <f>COUNTIFS(Results!$B$2:$B$101,A39,Results!$AA$2:$AA$101,"PASS")</f>
        <v/>
      </c>
      <c r="D39">
        <f>COUNTIFS(Results!$B$2:$B$101,A39,Results!$AA$2:$AA$101,"PARTIAL")</f>
        <v/>
      </c>
      <c r="E39">
        <f>COUNTIFS(Results!$B$2:$B$101,A39,Results!$AA$2:$AA$101,"FAIL")</f>
        <v/>
      </c>
      <c r="F39">
        <f>COUNTIFS(Results!$B$2:$B$101,A39,Results!$AA$2:$AA$101,"BLOCKED")</f>
        <v/>
      </c>
      <c r="G39">
        <f>IF(B39=0,0,C39/B39)</f>
        <v/>
      </c>
      <c r="H39" s="5" t="n"/>
    </row>
    <row r="40">
      <c r="A40" t="inlineStr">
        <is>
          <t>False Premise</t>
        </is>
      </c>
      <c r="B40">
        <f>COUNTIF(Results!$B$2:$B$101,A40)</f>
        <v/>
      </c>
      <c r="C40">
        <f>COUNTIFS(Results!$B$2:$B$101,A40,Results!$AA$2:$AA$101,"PASS")</f>
        <v/>
      </c>
      <c r="D40">
        <f>COUNTIFS(Results!$B$2:$B$101,A40,Results!$AA$2:$AA$101,"PARTIAL")</f>
        <v/>
      </c>
      <c r="E40">
        <f>COUNTIFS(Results!$B$2:$B$101,A40,Results!$AA$2:$AA$101,"FAIL")</f>
        <v/>
      </c>
      <c r="F40">
        <f>COUNTIFS(Results!$B$2:$B$101,A40,Results!$AA$2:$AA$101,"BLOCKED")</f>
        <v/>
      </c>
      <c r="G40">
        <f>IF(B40=0,0,C40/B40)</f>
        <v/>
      </c>
      <c r="H40" s="5" t="n"/>
    </row>
    <row r="41">
      <c r="A41" t="inlineStr">
        <is>
          <t>Temporal Reasoning</t>
        </is>
      </c>
      <c r="B41">
        <f>COUNTIF(Results!$B$2:$B$101,A41)</f>
        <v/>
      </c>
      <c r="C41">
        <f>COUNTIFS(Results!$B$2:$B$101,A41,Results!$AA$2:$AA$101,"PASS")</f>
        <v/>
      </c>
      <c r="D41">
        <f>COUNTIFS(Results!$B$2:$B$101,A41,Results!$AA$2:$AA$101,"PARTIAL")</f>
        <v/>
      </c>
      <c r="E41">
        <f>COUNTIFS(Results!$B$2:$B$101,A41,Results!$AA$2:$AA$101,"FAIL")</f>
        <v/>
      </c>
      <c r="F41">
        <f>COUNTIFS(Results!$B$2:$B$101,A41,Results!$AA$2:$AA$101,"BLOCKED")</f>
        <v/>
      </c>
      <c r="G41">
        <f>IF(B41=0,0,C41/B41)</f>
        <v/>
      </c>
      <c r="H41" s="5" t="n"/>
    </row>
    <row r="42">
      <c r="A42" t="inlineStr">
        <is>
          <t>Source Selection</t>
        </is>
      </c>
      <c r="B42">
        <f>COUNTIF(Results!$B$2:$B$101,A42)</f>
        <v/>
      </c>
      <c r="C42">
        <f>COUNTIFS(Results!$B$2:$B$101,A42,Results!$AA$2:$AA$101,"PASS")</f>
        <v/>
      </c>
      <c r="D42">
        <f>COUNTIFS(Results!$B$2:$B$101,A42,Results!$AA$2:$AA$101,"PARTIAL")</f>
        <v/>
      </c>
      <c r="E42">
        <f>COUNTIFS(Results!$B$2:$B$101,A42,Results!$AA$2:$AA$101,"FAIL")</f>
        <v/>
      </c>
      <c r="F42">
        <f>COUNTIFS(Results!$B$2:$B$101,A42,Results!$AA$2:$AA$101,"BLOCKED")</f>
        <v/>
      </c>
      <c r="G42">
        <f>IF(B42=0,0,C42/B42)</f>
        <v/>
      </c>
      <c r="H42" s="5" t="n"/>
    </row>
    <row r="43">
      <c r="A43" t="inlineStr">
        <is>
          <t>Multi-document</t>
        </is>
      </c>
      <c r="B43">
        <f>COUNTIF(Results!$B$2:$B$101,A43)</f>
        <v/>
      </c>
      <c r="C43">
        <f>COUNTIFS(Results!$B$2:$B$101,A43,Results!$AA$2:$AA$101,"PASS")</f>
        <v/>
      </c>
      <c r="D43">
        <f>COUNTIFS(Results!$B$2:$B$101,A43,Results!$AA$2:$AA$101,"PARTIAL")</f>
        <v/>
      </c>
      <c r="E43">
        <f>COUNTIFS(Results!$B$2:$B$101,A43,Results!$AA$2:$AA$101,"FAIL")</f>
        <v/>
      </c>
      <c r="F43">
        <f>COUNTIFS(Results!$B$2:$B$101,A43,Results!$AA$2:$AA$101,"BLOCKED")</f>
        <v/>
      </c>
      <c r="G43">
        <f>IF(B43=0,0,C43/B43)</f>
        <v/>
      </c>
      <c r="H43" s="5" t="n"/>
    </row>
    <row r="44">
      <c r="A44" t="inlineStr">
        <is>
          <t>Scope</t>
        </is>
      </c>
      <c r="B44">
        <f>COUNTIF(Results!$B$2:$B$101,A44)</f>
        <v/>
      </c>
      <c r="C44">
        <f>COUNTIFS(Results!$B$2:$B$101,A44,Results!$AA$2:$AA$101,"PASS")</f>
        <v/>
      </c>
      <c r="D44">
        <f>COUNTIFS(Results!$B$2:$B$101,A44,Results!$AA$2:$AA$101,"PARTIAL")</f>
        <v/>
      </c>
      <c r="E44">
        <f>COUNTIFS(Results!$B$2:$B$101,A44,Results!$AA$2:$AA$101,"FAIL")</f>
        <v/>
      </c>
      <c r="F44">
        <f>COUNTIFS(Results!$B$2:$B$101,A44,Results!$AA$2:$AA$101,"BLOCKED")</f>
        <v/>
      </c>
      <c r="G44">
        <f>IF(B44=0,0,C44/B44)</f>
        <v/>
      </c>
      <c r="H44" s="5" t="n"/>
    </row>
    <row r="45">
      <c r="A45" t="inlineStr">
        <is>
          <t>Procedure</t>
        </is>
      </c>
      <c r="B45">
        <f>COUNTIF(Results!$B$2:$B$101,A45)</f>
        <v/>
      </c>
      <c r="C45">
        <f>COUNTIFS(Results!$B$2:$B$101,A45,Results!$AA$2:$AA$101,"PASS")</f>
        <v/>
      </c>
      <c r="D45">
        <f>COUNTIFS(Results!$B$2:$B$101,A45,Results!$AA$2:$AA$101,"PARTIAL")</f>
        <v/>
      </c>
      <c r="E45">
        <f>COUNTIFS(Results!$B$2:$B$101,A45,Results!$AA$2:$AA$101,"FAIL")</f>
        <v/>
      </c>
      <c r="F45">
        <f>COUNTIFS(Results!$B$2:$B$101,A45,Results!$AA$2:$AA$101,"BLOCKED")</f>
        <v/>
      </c>
      <c r="G45">
        <f>IF(B45=0,0,C45/B45)</f>
        <v/>
      </c>
      <c r="H45"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35" customWidth="1" min="5" max="5"/>
    <col width="14" customWidth="1" min="6" max="6"/>
    <col width="14" customWidth="1" min="7" max="7"/>
    <col width="25" customWidth="1" min="8" max="8"/>
    <col width="14" customWidth="1" min="9" max="9"/>
    <col width="14" customWidth="1" min="10" max="10"/>
    <col width="14" customWidth="1" min="11" max="11"/>
    <col width="14" customWidth="1" min="12" max="12"/>
    <col width="14" customWidth="1" min="13" max="13"/>
    <col width="14" customWidth="1" min="14" max="14"/>
    <col width="60" customWidth="1" min="15" max="15"/>
    <col width="45" customWidth="1" min="16" max="16"/>
    <col width="45"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35" customWidth="1" min="25" max="25"/>
    <col width="14" customWidth="1" min="26" max="26"/>
    <col width="14" customWidth="1" min="27" max="27"/>
    <col width="14" customWidth="1" min="28" max="28"/>
    <col width="30" customWidth="1" min="29" max="29"/>
  </cols>
  <sheetData>
    <row r="1">
      <c r="A1" s="2" t="inlineStr">
        <is>
          <t>Test Case ID</t>
        </is>
      </c>
      <c r="B1" s="2" t="inlineStr">
        <is>
          <t>Category</t>
        </is>
      </c>
      <c r="C1" s="2" t="inlineStr">
        <is>
          <t>Query</t>
        </is>
      </c>
      <c r="D1" s="2" t="inlineStr">
        <is>
          <t>Expected Answer</t>
        </is>
      </c>
      <c r="E1" s="2" t="inlineStr">
        <is>
          <t>Evidence</t>
        </is>
      </c>
      <c r="F1" s="2" t="inlineStr">
        <is>
          <t>Source Page</t>
        </is>
      </c>
      <c r="G1" s="2" t="inlineStr">
        <is>
          <t>Source Section</t>
        </is>
      </c>
      <c r="H1" s="2" t="inlineStr">
        <is>
          <t>Required Keywords / Key Concepts</t>
        </is>
      </c>
      <c r="I1" s="2" t="inlineStr">
        <is>
          <t>Retrieval Difficulty</t>
        </is>
      </c>
      <c r="J1" s="2" t="inlineStr">
        <is>
          <t>Expected Retrieval Type</t>
        </is>
      </c>
      <c r="K1" s="2" t="inlineStr">
        <is>
          <t>Is Answerable</t>
        </is>
      </c>
      <c r="L1" s="2" t="inlineStr">
        <is>
          <t>Expected Behavior</t>
        </is>
      </c>
      <c r="M1" s="2" t="inlineStr">
        <is>
          <t>Notes</t>
        </is>
      </c>
      <c r="N1" s="2" t="inlineStr">
        <is>
          <t>Document</t>
        </is>
      </c>
      <c r="O1" s="2" t="inlineStr">
        <is>
          <t>Actual Answer</t>
        </is>
      </c>
      <c r="P1" s="2" t="inlineStr">
        <is>
          <t>Cited Sources</t>
        </is>
      </c>
      <c r="Q1" s="2" t="inlineStr">
        <is>
          <t>Context Sources</t>
        </is>
      </c>
      <c r="R1" s="2" t="inlineStr">
        <is>
          <t>LLM Model</t>
        </is>
      </c>
      <c r="S1" s="2" t="inlineStr">
        <is>
          <t>Latency (s)</t>
        </is>
      </c>
      <c r="T1" s="2" t="inlineStr">
        <is>
          <t>Keyword Coverage</t>
        </is>
      </c>
      <c r="U1" s="2" t="inlineStr">
        <is>
          <t>Expected-Answer Recall</t>
        </is>
      </c>
      <c r="V1" s="2" t="inlineStr">
        <is>
          <t>Cited Expected Doc</t>
        </is>
      </c>
      <c r="W1" s="2" t="inlineStr">
        <is>
          <t>Page Match</t>
        </is>
      </c>
      <c r="X1" s="2" t="inlineStr">
        <is>
          <t>Suggested Status</t>
        </is>
      </c>
      <c r="Y1" s="2" t="inlineStr">
        <is>
          <t>Auto Reasons</t>
        </is>
      </c>
      <c r="Z1" s="2" t="inlineStr">
        <is>
          <t>Final Status</t>
        </is>
      </c>
      <c r="AA1" s="2" t="inlineStr">
        <is>
          <t>Effective Status</t>
        </is>
      </c>
      <c r="AB1" s="2" t="inlineStr">
        <is>
          <t>Defect ID</t>
        </is>
      </c>
      <c r="AC1" s="2" t="inlineStr">
        <is>
          <t>Tester Note</t>
        </is>
      </c>
    </row>
    <row r="2">
      <c r="A2" s="6" t="inlineStr">
        <is>
          <t>LAW_A_001</t>
        </is>
      </c>
      <c r="B2" s="6" t="inlineStr">
        <is>
          <t>Definition</t>
        </is>
      </c>
      <c r="C2" s="6" t="inlineStr">
        <is>
          <t>Theo giáo trình, đối tượng điều chỉnh của Luật lao động gồm những nhóm quan hệ nào?</t>
        </is>
      </c>
      <c r="D2" s="6" t="inlineStr">
        <is>
          <t>Gồm quan hệ lao động và các quan hệ liên quan chặt chẽ hoặc phát sinh từ quan hệ lao động.</t>
        </is>
      </c>
      <c r="E2" s="6" t="inlineStr">
        <is>
          <t>Căn cứ: phần “Bài 1 - Đối tượng điều chỉnh”, trang 3. 
Nội dung được tài liệu xác nhận: Gồm quan hệ lao động và các quan hệ liên quan chặt chẽ hoặc phát sinh từ quan hệ lao động.</t>
        </is>
      </c>
      <c r="F2" s="6" t="n">
        <v>3</v>
      </c>
      <c r="G2" s="6" t="inlineStr">
        <is>
          <t>Bài 1 - Đối tượng điều chỉnh</t>
        </is>
      </c>
      <c r="H2" s="6" t="inlineStr">
        <is>
          <t>quan hệ lao động | quan hệ liên quan</t>
        </is>
      </c>
      <c r="I2" s="6" t="inlineStr">
        <is>
          <t>Easy</t>
        </is>
      </c>
      <c r="J2" s="6" t="inlineStr">
        <is>
          <t>Single Chunk</t>
        </is>
      </c>
      <c r="K2" s="6" t="inlineStr">
        <is>
          <t>Yes</t>
        </is>
      </c>
      <c r="L2" s="6" t="inlineStr">
        <is>
          <t>Answer from document</t>
        </is>
      </c>
      <c r="M2" s="6" t="n"/>
      <c r="N2" s="6" t="inlineStr">
        <is>
          <t>giao trinh Luat lao dong CB 2005 (1)</t>
        </is>
      </c>
      <c r="O2" s="6" t="inlineStr">
        <is>
          <t>Theo giáo trình, đối tượng điều chỉnh của Luật lao động bao gồm hai nhóm quan hệ xã hội [SOURCE_1]:
1. **Quan hệ lao động** [SOURCE_1].
2. **Các quan hệ liên quan đến quan hệ lao động** (phát sinh trong quá trình sử dụng lao động) [SOURCE_1].
Cụ thể, đó là mối quan hệ xã hội phát sinh giữa một bên là người lao động làm công ăn lương với một bên là cá nhân hoặc tổ chức sử dụng, thuê mướn có trả công cho người lao động và các quan hệ khác có liên quan chặt chẽ hoặc phát sinh từ quan hệ lao động [SOURCE_1].</t>
        </is>
      </c>
      <c r="P2" s="6" t="inlineStr">
        <is>
          <t>[SOURCE_1] giao trinh Luat lao dong CB 2005 (1) | tr.3 | BÀI 1 &gt; KHÁI NIỆM LUẬT LAO ĐỘNG VIỆT NAM &gt; I - ĐỐI TƯỢNG VÀ  | 0.9984</t>
        </is>
      </c>
      <c r="Q2" s="6" t="inlineStr">
        <is>
          <t>[SOURCE_1] giao trinh Luat lao dong CB 2005 (1) | tr.3 | BÀI 1 &gt; KHÁI NIỆM LUẬT LAO ĐỘNG VIỆT NAM &gt; I - ĐỐI TƯỢNG VÀ  | 0.9984
[SOURCE_2] giao trinh Luat lao dong CB 2005 (1) | tr.7 | 2 - Phương pháp điều chỉnh của luật lao động | 0.9587
[SOURCE_3] giao trinh Luat lao dong CB 2005 (1) | tr.7 | (7) - Quan hệ về quản lý lao động | 0.9279
[SOURCE_4] giao trinh Luat lao dong CB 2005 (1) | tr.3 | a - Quan hệ lao động | 0.8305
[SOURCE_5] giao trinh Luat lao dong CB 2005 (1) | tr.6 | (4) Quan hệ về bảo hiểm xã hội | 0.8054</t>
        </is>
      </c>
      <c r="R2" s="6" t="inlineStr">
        <is>
          <t>GeminiProvider</t>
        </is>
      </c>
      <c r="S2" s="6" t="n">
        <v>19</v>
      </c>
      <c r="T2" s="7" t="n">
        <v>1</v>
      </c>
      <c r="U2" s="7" t="n">
        <v>1</v>
      </c>
      <c r="V2" s="6" t="inlineStr">
        <is>
          <t>Yes</t>
        </is>
      </c>
      <c r="W2" s="6" t="inlineStr">
        <is>
          <t>Yes</t>
        </is>
      </c>
      <c r="X2" s="6" t="inlineStr">
        <is>
          <t>PASS</t>
        </is>
      </c>
      <c r="Y2" s="6" t="inlineStr"/>
      <c r="Z2" s="6" t="n"/>
      <c r="AA2" s="6">
        <f>IF(Z2="",X2,Z2)</f>
        <v/>
      </c>
      <c r="AB2" s="6" t="n"/>
      <c r="AC2" s="6" t="n"/>
    </row>
    <row r="3">
      <c r="A3" s="6" t="inlineStr">
        <is>
          <t>LAW_A_002</t>
        </is>
      </c>
      <c r="B3" s="6" t="inlineStr">
        <is>
          <t>Definition</t>
        </is>
      </c>
      <c r="C3" s="6" t="inlineStr">
        <is>
          <t>Quan hệ lao động được giáo trình mô tả là gì?</t>
        </is>
      </c>
      <c r="D3" s="6" t="inlineStr">
        <is>
          <t>Là quan hệ giữa con người với con người trong lao động nhằm tạo ra các giá trị vật chất, tinh thần phục vụ bản thân và xã hội.</t>
        </is>
      </c>
      <c r="E3" s="6" t="inlineStr">
        <is>
          <t>Căn cứ: phần “Bài 1 - Quan hệ lao động”, trang 3. 
Nội dung được tài liệu xác nhận: Là quan hệ giữa con người với con người trong lao động nhằm tạo ra các giá trị vật chất, tinh thần phục vụ bản thân và xã hội.</t>
        </is>
      </c>
      <c r="F3" s="6" t="n">
        <v>3</v>
      </c>
      <c r="G3" s="6" t="inlineStr">
        <is>
          <t>Bài 1 - Quan hệ lao động</t>
        </is>
      </c>
      <c r="H3" s="6" t="inlineStr">
        <is>
          <t>lao động | giá trị vật chất | tinh thần</t>
        </is>
      </c>
      <c r="I3" s="6" t="inlineStr">
        <is>
          <t>Easy</t>
        </is>
      </c>
      <c r="J3" s="6" t="inlineStr">
        <is>
          <t>Single Chunk</t>
        </is>
      </c>
      <c r="K3" s="6" t="inlineStr">
        <is>
          <t>Yes</t>
        </is>
      </c>
      <c r="L3" s="6" t="inlineStr">
        <is>
          <t>Answer from document</t>
        </is>
      </c>
      <c r="M3" s="6" t="n"/>
      <c r="N3" s="6" t="inlineStr">
        <is>
          <t>giao trinh Luat lao dong CB 2005 (1)</t>
        </is>
      </c>
      <c r="O3" s="6" t="inlineStr">
        <is>
          <t>Theo Giáo trình Luật Lao động cơ bản, quan hệ lao động được mô tả như sau:
* Quan hệ lao động vừa có tính kinh tế, vừa có tính xã hội [SOURCE_1].
* Quan hệ giữa con người với con người trong lao động nhằm tạo ra những giá trị vật chất, tinh thần phục vụ chính bản thân và xã hội gọi là quan hệ lao động [SOURCE_3].
* Quan hệ lao động là biểu hiện một mặt của quan hệ sản xuất và chịu sự chi phối của quan hệ sở hữu [SOURCE_3].
* Ở đâu có tổ chức lao động, có hợp tác và phân công lao động thì ở đó tồn tại quan hệ lao động [SOURCE_3].
* Trong số các quan hệ lao động tồn tại trong đời sống xã hội, Luật lao động chủ yếu điều chỉnh quan hệ lao động giữa người lao động làm công ăn lương với người sử dụng lao động thuộc mọi thành phần kinh tế (xác lập trên cơ sở hợp đồng lao động) [SOURCE_3].</t>
        </is>
      </c>
      <c r="P3" s="6" t="inlineStr">
        <is>
          <t>[SOURCE_1] giao trinh Luat lao dong CB 2005 (1) | tr.13 | Giáo trình Luật Lao động cơ bản | 0.9737
[SOURCE_3] giao trinh Luat lao dong CB 2005 (1) | tr.3 | a - Quan hệ lao động | 0.8496</t>
        </is>
      </c>
      <c r="Q3" s="6" t="inlineStr">
        <is>
          <t>[SOURCE_1] giao trinh Luat lao dong CB 2005 (1) | tr.13 | Giáo trình Luật Lao động cơ bản | 0.9737
[SOURCE_2] giao trinh Luat lao dong CB 2005 (1) | tr.3 | a - Quan hệ lao động | 0.8655
[SOURCE_3] giao trinh Luat lao dong CB 2005 (1) | tr.3 | a - Quan hệ lao động | 0.8496
[SOURCE_4] luu-ban-nhap-tu-dong-3-4 | tr.69 | Điều 3. Giải thích từ ngữ ữ | 0.8055
[SOURCE_5] luu-ban-nhap-tu-dong-3-4 | tr.72 | Điều 7. Quan hệ lao động | 0.7175</t>
        </is>
      </c>
      <c r="R3" s="6" t="inlineStr">
        <is>
          <t>GeminiProvider</t>
        </is>
      </c>
      <c r="S3" s="6" t="n">
        <v>26.6</v>
      </c>
      <c r="T3" s="7" t="n">
        <v>1</v>
      </c>
      <c r="U3" s="7" t="n">
        <v>1</v>
      </c>
      <c r="V3" s="6" t="inlineStr">
        <is>
          <t>Yes</t>
        </is>
      </c>
      <c r="W3" s="6" t="inlineStr">
        <is>
          <t>Yes</t>
        </is>
      </c>
      <c r="X3" s="6" t="inlineStr">
        <is>
          <t>PASS</t>
        </is>
      </c>
      <c r="Y3" s="6" t="inlineStr"/>
      <c r="Z3" s="6" t="n"/>
      <c r="AA3" s="6">
        <f>IF(Z3="",X3,Z3)</f>
        <v/>
      </c>
      <c r="AB3" s="6" t="n"/>
      <c r="AC3" s="6" t="n"/>
    </row>
    <row r="4">
      <c r="A4" s="6" t="inlineStr">
        <is>
          <t>LAW_A_003</t>
        </is>
      </c>
      <c r="B4" s="6" t="inlineStr">
        <is>
          <t>List</t>
        </is>
      </c>
      <c r="C4" s="6" t="inlineStr">
        <is>
          <t>Giáo trình liệt kê những quan hệ nào liên quan đến quan hệ lao động?</t>
        </is>
      </c>
      <c r="D4" s="6" t="inlineStr">
        <is>
          <t>Gồm quan hệ về việc làm, học nghề, bồi thường thiệt hại, bảo hiểm xã hội, quan hệ với Công đoàn/đại diện tập thể lao động, giải quyết tranh chấp và đình công, và quản lý lao động.</t>
        </is>
      </c>
      <c r="E4" s="6" t="inlineStr">
        <is>
          <t>Căn cứ: phần “Bài 1 - Các quan hệ liên quan”, trang 5. 
Nội dung được tài liệu xác nhận: Gồm quan hệ về việc làm, học nghề, bồi thường thiệt hại, bảo hiểm xã hội, quan hệ với Công đoàn/đại diện tập thể lao động, giải quyết tranh chấp và đình công, và quản lý lao động.</t>
        </is>
      </c>
      <c r="F4" s="6" t="n">
        <v>5</v>
      </c>
      <c r="G4" s="6" t="inlineStr">
        <is>
          <t>Bài 1 - Các quan hệ liên quan</t>
        </is>
      </c>
      <c r="H4" s="6" t="inlineStr">
        <is>
          <t>việc làm | học nghề | bồi thường | BHXH | công đoàn | tranh chấp | quản lý</t>
        </is>
      </c>
      <c r="I4" s="6" t="inlineStr">
        <is>
          <t>Easy</t>
        </is>
      </c>
      <c r="J4" s="6" t="inlineStr">
        <is>
          <t>Single Chunk</t>
        </is>
      </c>
      <c r="K4" s="6" t="inlineStr">
        <is>
          <t>Yes</t>
        </is>
      </c>
      <c r="L4" s="6" t="inlineStr">
        <is>
          <t>Answer from document</t>
        </is>
      </c>
      <c r="M4" s="6" t="n"/>
      <c r="N4" s="6" t="inlineStr">
        <is>
          <t>giao trinh Luat lao dong CB 2005 (1)</t>
        </is>
      </c>
      <c r="O4" s="6" t="inlineStr">
        <is>
          <t>Theo giáo trình, các quan hệ có liên quan chặt chẽ với quan hệ lao động bao gồm [SOURCE_1]:
* Quan hệ về việc làm [SOURCE_1];
* Quan hệ học nghề [SOURCE_1];
* Quan hệ về bồi thường thiệt hại [SOURCE_1];
* Quan hệ về bảo hiểm xã hội [SOURCE_1];
* Quan hệ giữa người sử dụng lao động với tổ chức Công đoàn, đại diện của tập thể người lao động [SOURCE_1];
* Quan hệ về giải quyết các tranh chấp lao động và các cuộc đình công [SOURCE_1];
* Quan hệ về quản lý lao động [SOURCE_1].</t>
        </is>
      </c>
      <c r="P4" s="6" t="inlineStr">
        <is>
          <t>[SOURCE_1] giao trinh Luat lao dong CB 2005 (1) | tr.4 | b - Các quan hệ liên quan đến quan hệ lao động | 0.9891</t>
        </is>
      </c>
      <c r="Q4" s="6" t="inlineStr">
        <is>
          <t>[SOURCE_1] giao trinh Luat lao dong CB 2005 (1) | tr.4 | b - Các quan hệ liên quan đến quan hệ lao động | 0.9891
[SOURCE_2] giao trinh Luat lao dong CB 2005 (1) | tr.13 | Giáo trình Luật Lao động cơ bản | 0.9326
[SOURCE_3] giao trinh Luat lao dong CB 2005 (1) | tr.3 | a - Quan hệ lao động | 0.9083
[SOURCE_4] luu-ban-nhap-tu-dong-3-4 | tr.72 | Điều 7. Quan hệ lao động | 0.8941
[SOURCE_5] giao trinh Luat lao dong CB 2005 (1) | tr.3 | a - Quan hệ lao động | 0.891</t>
        </is>
      </c>
      <c r="R4" s="6" t="inlineStr">
        <is>
          <t>GeminiProvider</t>
        </is>
      </c>
      <c r="S4" s="6" t="n">
        <v>22.5</v>
      </c>
      <c r="T4" s="7" t="n">
        <v>1</v>
      </c>
      <c r="U4" s="7" t="n">
        <v>1</v>
      </c>
      <c r="V4" s="6" t="inlineStr">
        <is>
          <t>Yes</t>
        </is>
      </c>
      <c r="W4" s="6" t="inlineStr">
        <is>
          <t>Yes</t>
        </is>
      </c>
      <c r="X4" s="6" t="inlineStr">
        <is>
          <t>PASS</t>
        </is>
      </c>
      <c r="Y4" s="6" t="inlineStr"/>
      <c r="Z4" s="6" t="n"/>
      <c r="AA4" s="6">
        <f>IF(Z4="",X4,Z4)</f>
        <v/>
      </c>
      <c r="AB4" s="6" t="n"/>
      <c r="AC4" s="6" t="n"/>
    </row>
    <row r="5">
      <c r="A5" s="6" t="inlineStr">
        <is>
          <t>LAW_A_004</t>
        </is>
      </c>
      <c r="B5" s="6" t="inlineStr">
        <is>
          <t>Definition</t>
        </is>
      </c>
      <c r="C5" s="6" t="inlineStr">
        <is>
          <t>Theo giáo trình, quan hệ pháp luật lao động là gì?</t>
        </is>
      </c>
      <c r="D5" s="6" t="inlineStr">
        <is>
          <t>Là các quan hệ phát sinh trong quá trình sử dụng sức lao động, được các quy phạm pháp luật lao động điều chỉnh.</t>
        </is>
      </c>
      <c r="E5" s="6" t="inlineStr">
        <is>
          <t>Căn cứ: phần “Bài 2 - Khái niệm”, trang 14. 
Nội dung được tài liệu xác nhận: Là các quan hệ phát sinh trong quá trình sử dụng sức lao động, được các quy phạm pháp luật lao động điều chỉnh.</t>
        </is>
      </c>
      <c r="F5" s="6" t="n">
        <v>14</v>
      </c>
      <c r="G5" s="6" t="inlineStr">
        <is>
          <t>Bài 2 - Khái niệm</t>
        </is>
      </c>
      <c r="H5" s="6" t="inlineStr">
        <is>
          <t>sử dụng sức lao động | quy phạm pháp luật lao động</t>
        </is>
      </c>
      <c r="I5" s="6" t="inlineStr">
        <is>
          <t>Easy</t>
        </is>
      </c>
      <c r="J5" s="6" t="inlineStr">
        <is>
          <t>Single Chunk</t>
        </is>
      </c>
      <c r="K5" s="6" t="inlineStr">
        <is>
          <t>Yes</t>
        </is>
      </c>
      <c r="L5" s="6" t="inlineStr">
        <is>
          <t>Answer from document</t>
        </is>
      </c>
      <c r="M5" s="6" t="n"/>
      <c r="N5" s="6" t="inlineStr">
        <is>
          <t>giao trinh Luat lao dong CB 2005 (1)</t>
        </is>
      </c>
      <c r="O5" s="6" t="inlineStr">
        <is>
          <t>Theo giáo trình, quan hệ pháp luật lao động là các quan hệ phát sinh trong quá trình sử dụng sức lao động của người lao động ở các cơ quan Nhà nước, các tổ chức, các hợp tác xã, các doanh nghiệp thuộc mọi thành phần kinh tế và các gia đình hay cá nhân có thuê mướn lao động, được các quy phạm pháp luật lao động điều chỉnh [SOURCE_2].
Quan hệ pháp luật lao động thể hiện sự ràng buộc trách nhiệm giữa người lao động làm công ăn lương với người sử dụng lao động [SOURCE_2]:
* **Đối với người lao động:** Khi tham gia quan hệ này, người lao động phải hoàn thành công việc như đã thỏa thuận trong hợp đồng lao động, chấp hành nội quy lao động và chịu sự quản lý, điều hành của người chủ [SOURCE_2].
* **Đối với người sử dụng lao động:** Phải đảm bảo trả lương và các chế độ khác cho người lao động theo thỏa thuận trong hợp đồng lao động phù hợp với pháp luật và thỏa ước lao động tập thể [SOURCE_2].</t>
        </is>
      </c>
      <c r="P5" s="6" t="inlineStr">
        <is>
          <t>[SOURCE_2] giao trinh Luat lao dong CB 2005 (1) | tr.14 | BÀI 2 &gt; QUAN HỆ PHÁP LUẬT LAO ĐỘNG &gt; I - KHÁI NIỆM VÀ ĐẶC ĐI | 0.9835</t>
        </is>
      </c>
      <c r="Q5" s="6" t="inlineStr">
        <is>
          <t>[SOURCE_1] giao trinh Luat lao dong CB 2005 (1) | tr.13 | Giáo trình Luật Lao động cơ bản | 0.9936
[SOURCE_2] giao trinh Luat lao dong CB 2005 (1) | tr.14 | BÀI 2 &gt; QUAN HỆ PHÁP LUẬT LAO ĐỘNG &gt; I - KHÁI NIỆM VÀ ĐẶC ĐI | 0.9835
[SOURCE_3] giao trinh Luat lao dong CB 2005 (1) | tr.14 | 2. Đặc điểm của quan hệ pháp luật lao động | 0.9708
[SOURCE_4] giao trinh Luat lao dong CB 2005 (1) | tr.14 | 2. Đặc điểm của quan hệ pháp luật lao động | 0.9608
[SOURCE_5] giao trinh Luat lao dong CB 2005 (1) | tr.18 | 2. Nội dung của quan hệ pháp luật lao động | 0.9575</t>
        </is>
      </c>
      <c r="R5" s="6" t="inlineStr">
        <is>
          <t>GeminiProvider</t>
        </is>
      </c>
      <c r="S5" s="6" t="n">
        <v>17.6</v>
      </c>
      <c r="T5" s="7" t="n">
        <v>1</v>
      </c>
      <c r="U5" s="7" t="n">
        <v>1</v>
      </c>
      <c r="V5" s="6" t="inlineStr">
        <is>
          <t>Yes</t>
        </is>
      </c>
      <c r="W5" s="6" t="inlineStr">
        <is>
          <t>Yes</t>
        </is>
      </c>
      <c r="X5" s="6" t="inlineStr">
        <is>
          <t>PASS</t>
        </is>
      </c>
      <c r="Y5" s="6" t="inlineStr"/>
      <c r="Z5" s="6" t="n"/>
      <c r="AA5" s="6">
        <f>IF(Z5="",X5,Z5)</f>
        <v/>
      </c>
      <c r="AB5" s="6" t="n"/>
      <c r="AC5" s="6" t="n"/>
    </row>
    <row r="6">
      <c r="A6" s="6" t="inlineStr">
        <is>
          <t>LAW_A_005</t>
        </is>
      </c>
      <c r="B6" s="6" t="inlineStr">
        <is>
          <t>Direct Fact</t>
        </is>
      </c>
      <c r="C6" s="6" t="inlineStr">
        <is>
          <t>Ba loại quan hệ về việc làm chủ yếu được giáo trình nêu là gì?</t>
        </is>
      </c>
      <c r="D6" s="6" t="inlineStr">
        <is>
          <t>Quan hệ bảo đảm việc làm giữa Nhà nước và NLĐ; giữa NSDLĐ và NLĐ; và giữa NLĐ với các trung tâm dịch vụ việc làm.</t>
        </is>
      </c>
      <c r="E6" s="6" t="inlineStr">
        <is>
          <t>Căn cứ: phần “Bài 1 - Quan hệ việc làm”, trang 5. 
Nội dung được tài liệu xác nhận: Quan hệ bảo đảm việc làm giữa Nhà nước và NLĐ; giữa NSDLĐ và NLĐ; và giữa NLĐ với các trung tâm dịch vụ việc làm.</t>
        </is>
      </c>
      <c r="F6" s="6" t="n">
        <v>5</v>
      </c>
      <c r="G6" s="6" t="inlineStr">
        <is>
          <t>Bài 1 - Quan hệ việc làm</t>
        </is>
      </c>
      <c r="H6" s="6" t="inlineStr">
        <is>
          <t>Nhà nước | NSDLĐ | trung tâm dịch vụ việc làm</t>
        </is>
      </c>
      <c r="I6" s="6" t="inlineStr">
        <is>
          <t>Easy</t>
        </is>
      </c>
      <c r="J6" s="6" t="inlineStr">
        <is>
          <t>Single Chunk</t>
        </is>
      </c>
      <c r="K6" s="6" t="inlineStr">
        <is>
          <t>Yes</t>
        </is>
      </c>
      <c r="L6" s="6" t="inlineStr">
        <is>
          <t>Answer from document</t>
        </is>
      </c>
      <c r="M6" s="6" t="n"/>
      <c r="N6" s="6" t="inlineStr">
        <is>
          <t>giao trinh Luat lao dong CB 2005 (1)</t>
        </is>
      </c>
      <c r="O6" s="6" t="inlineStr">
        <is>
          <t>Dựa trên tài liệu được cung cấp, ba loại quan hệ về việc làm chủ yếu bao gồm:
1. Quan hệ về đảm bảo việc làm giữa Nhà nước và người lao động [SOURCE_1].
2. Quan hệ về đảm bảo việc làm giữa người sử dụng lao động và người lao động [SOURCE_1].
3. Quan hệ giữa người lao động và các trung tâm dịch vụ việc làm [SOURCE_1].</t>
        </is>
      </c>
      <c r="P6" s="6" t="inlineStr">
        <is>
          <t>[SOURCE_1] giao trinh Luat lao dong CB 2005 (1) | tr.5 | (1) Quan hệ về việc làm | 0.9905</t>
        </is>
      </c>
      <c r="Q6" s="6" t="inlineStr">
        <is>
          <t>[SOURCE_1] giao trinh Luat lao dong CB 2005 (1) | tr.5 | (1) Quan hệ về việc làm | 0.9905
[SOURCE_2] giao trinh Luat lao dong CB 2005 (1) | tr.4 | b - Các quan hệ liên quan đến quan hệ lao động | 0.5222</t>
        </is>
      </c>
      <c r="R6" s="6" t="inlineStr">
        <is>
          <t>GeminiProvider</t>
        </is>
      </c>
      <c r="S6" s="6" t="n">
        <v>20.3</v>
      </c>
      <c r="T6" s="7" t="n">
        <v>1</v>
      </c>
      <c r="U6" s="7" t="n">
        <v>1</v>
      </c>
      <c r="V6" s="6" t="inlineStr">
        <is>
          <t>Yes</t>
        </is>
      </c>
      <c r="W6" s="6" t="inlineStr">
        <is>
          <t>Yes</t>
        </is>
      </c>
      <c r="X6" s="6" t="inlineStr">
        <is>
          <t>PASS</t>
        </is>
      </c>
      <c r="Y6" s="6" t="inlineStr"/>
      <c r="Z6" s="6" t="n"/>
      <c r="AA6" s="6">
        <f>IF(Z6="",X6,Z6)</f>
        <v/>
      </c>
      <c r="AB6" s="6" t="n"/>
      <c r="AC6" s="6" t="n"/>
    </row>
    <row r="7">
      <c r="A7" s="6" t="inlineStr">
        <is>
          <t>LAW_A_006</t>
        </is>
      </c>
      <c r="B7" s="6" t="inlineStr">
        <is>
          <t>Concept</t>
        </is>
      </c>
      <c r="C7" s="6" t="inlineStr">
        <is>
          <t>Quan hệ học nghề có thể tồn tại dưới những dạng nào?</t>
        </is>
      </c>
      <c r="D7" s="6" t="inlineStr">
        <is>
          <t>Có thể là quan hệ độc lập hoặc là quan hệ phụ thuộc quan hệ lao động.</t>
        </is>
      </c>
      <c r="E7" s="6" t="inlineStr">
        <is>
          <t>Căn cứ: phần “Bài 1 - Quan hệ học nghề”, trang 5. 
Nội dung được tài liệu xác nhận: Có thể là quan hệ độc lập hoặc là quan hệ phụ thuộc quan hệ lao động.</t>
        </is>
      </c>
      <c r="F7" s="6" t="n">
        <v>5</v>
      </c>
      <c r="G7" s="6" t="inlineStr">
        <is>
          <t>Bài 1 - Quan hệ học nghề</t>
        </is>
      </c>
      <c r="H7" s="6" t="inlineStr">
        <is>
          <t>độc lập | phụ thuộc quan hệ lao động</t>
        </is>
      </c>
      <c r="I7" s="6" t="inlineStr">
        <is>
          <t>Easy</t>
        </is>
      </c>
      <c r="J7" s="6" t="inlineStr">
        <is>
          <t>Single Chunk</t>
        </is>
      </c>
      <c r="K7" s="6" t="inlineStr">
        <is>
          <t>Yes</t>
        </is>
      </c>
      <c r="L7" s="6" t="inlineStr">
        <is>
          <t>Answer from document</t>
        </is>
      </c>
      <c r="M7" s="6" t="n"/>
      <c r="N7" s="6" t="inlineStr">
        <is>
          <t>giao trinh Luat lao dong CB 2005 (1)</t>
        </is>
      </c>
      <c r="O7" s="6" t="inlineStr">
        <is>
          <t>Dựa trên tài liệu được cung cấp, quan hệ học nghề vừa có thể là một quan hệ độc lập, vừa có thể là một quan hệ phụ thuộc quan hệ lao động [SOURCE_1].</t>
        </is>
      </c>
      <c r="P7" s="6" t="inlineStr">
        <is>
          <t>[SOURCE_1] giao trinh Luat lao dong CB 2005 (1) | tr.5 | (2) Quan hệ học nghề | 0.8816</t>
        </is>
      </c>
      <c r="Q7" s="6" t="inlineStr">
        <is>
          <t>[SOURCE_1] giao trinh Luat lao dong CB 2005 (1) | tr.5 | (2) Quan hệ học nghề | 0.8816
[SOURCE_2] giao trinh Luat lao dong CB 2005 (1) | tr.5 | (2) Quan hệ học nghề | 0.4338</t>
        </is>
      </c>
      <c r="R7" s="6" t="inlineStr">
        <is>
          <t>GeminiProvider</t>
        </is>
      </c>
      <c r="S7" s="6" t="n">
        <v>19</v>
      </c>
      <c r="T7" s="7" t="n">
        <v>1</v>
      </c>
      <c r="U7" s="7" t="n">
        <v>1</v>
      </c>
      <c r="V7" s="6" t="inlineStr">
        <is>
          <t>Yes</t>
        </is>
      </c>
      <c r="W7" s="6" t="inlineStr">
        <is>
          <t>Yes</t>
        </is>
      </c>
      <c r="X7" s="6" t="inlineStr">
        <is>
          <t>PASS</t>
        </is>
      </c>
      <c r="Y7" s="6" t="inlineStr"/>
      <c r="Z7" s="6" t="n"/>
      <c r="AA7" s="6">
        <f>IF(Z7="",X7,Z7)</f>
        <v/>
      </c>
      <c r="AB7" s="6" t="n"/>
      <c r="AC7" s="6" t="n"/>
    </row>
    <row r="8">
      <c r="A8" s="6" t="inlineStr">
        <is>
          <t>LAW_A_007</t>
        </is>
      </c>
      <c r="B8" s="6" t="inlineStr">
        <is>
          <t>Definition</t>
        </is>
      </c>
      <c r="C8" s="6" t="inlineStr">
        <is>
          <t>Theo giáo trình, tiền lương được nhìn nhận như thế nào trong quan hệ lao động?</t>
        </is>
      </c>
      <c r="D8" s="6" t="inlineStr">
        <is>
          <t>Tiền lương được xem là giá cả của sức lao động và việc trả lương dựa trên thỏa thuận, trong khuôn khổ pháp luật.</t>
        </is>
      </c>
      <c r="E8" s="6" t="inlineStr">
        <is>
          <t>Căn cứ: phần “Bài 1/Bài 6 - Tiền lương”, trang None. 
Nội dung được tài liệu xác nhận: Tiền lương được xem là giá cả của sức lao động và việc trả lương dựa trên thỏa thuận, trong khuôn khổ pháp luật.</t>
        </is>
      </c>
      <c r="F8" s="6" t="n"/>
      <c r="G8" s="6" t="inlineStr">
        <is>
          <t>Bài 1/Bài 6 - Tiền lương</t>
        </is>
      </c>
      <c r="H8" s="6" t="inlineStr">
        <is>
          <t>giá cả sức lao động | thỏa thuận</t>
        </is>
      </c>
      <c r="I8" s="6" t="inlineStr">
        <is>
          <t>Easy</t>
        </is>
      </c>
      <c r="J8" s="6" t="inlineStr">
        <is>
          <t>Single Chunk</t>
        </is>
      </c>
      <c r="K8" s="6" t="inlineStr">
        <is>
          <t>Yes</t>
        </is>
      </c>
      <c r="L8" s="6" t="inlineStr">
        <is>
          <t>Answer from document</t>
        </is>
      </c>
      <c r="M8" s="6" t="n"/>
      <c r="N8" s="6" t="inlineStr">
        <is>
          <t>giao trinh Luat lao dong CB 2005 (1)</t>
        </is>
      </c>
      <c r="O8" s="6" t="inlineStr">
        <is>
          <t>Theo tài liệu được cung cấp, tiền lương trong quan hệ lao động được nhìn nhận và quy định như sau:
* **Là một mục tiêu kinh tế:** Trong quan hệ lao động, tiền lương được nhìn nhận là một trong những mục tiêu kinh tế (bên cạnh lợi nhuận, sự tăng trưởng trong sản xuất, kinh doanh) mà Luật lao động phải xem xét kết hợp hài hòa với việc giải quyết các vấn đề xã hội [SOURCE_1].
* **Định nghĩa về tiền lương:** 
 * Tiền lương được hiểu là số lượng tiền tệ mà người sử dụng lao động trả cho người lao động khi người lao động hoàn thành công việc theo chức năng, nhiệm vụ do pháp luật quy định, hoặc do hai bên đã thỏa thuận trong hợp đồng lao động [SOURCE_2].
 * Tiền lương cũng là số tiền trả theo thỏa thuận để thực hiện công việc, bao gồm mức lương theo công việc hoặc chức danh, phụ cấp lương và các khoản bổ sung khác [SOURCE_3].
* **Cơ chế xác định và trả lương:**
 * Tiền lương do hai bên thỏa thuận trong hợp đồng lao động và được trả theo năng suất lao động, chất lượng và hiệu quả công việc [SOURCE_2].
 * Mức lương theo công việc hoặc chức danh không được thấp hơn mức lương tối thiểu do Nhà nước quy định [SOURCE_2], [SOURCE_3].
 * Lương được trả bằng tiền mặt, hoặc có thể trả một phần bằng séc/ngân phiếu do Nhà nước phát hành theo thỏa thuận của hai bên với điều kiện không gây thiệt hại, phiền hà cho người lao động [SOURCE_2].
 * Người sử dụng lao động phải bảo đảm trả lương bình đẳng, không phân biệt giới tính đối với người lao động làm công việc có giá trị như nhau [SOURCE_3].</t>
        </is>
      </c>
      <c r="P8" s="6" t="inlineStr">
        <is>
          <t>[SOURCE_1] giao trinh Luat lao dong CB 2005 (1) | tr.13 | Giáo trình Luật Lao động cơ bản | 0.7146
[SOURCE_2] giao trinh Luat lao dong CB 2005 (1) | tr.58 | BÀI 6 &gt; TIỀN LƯƠNG &gt; I. KHÁI QUÁT CHUNG VỀ TIỀN LƯƠNG &gt; 1. Đ | 0.4023
[SOURCE_3] luu-ban-nhap-tu-dong-3-4 | tr.31 | Chương VI &gt; Điều 90. Tiền lương | 0.3612</t>
        </is>
      </c>
      <c r="Q8" s="6" t="inlineStr">
        <is>
          <t>[SOURCE_1] giao trinh Luat lao dong CB 2005 (1) | tr.13 | Giáo trình Luật Lao động cơ bản | 0.7146
[SOURCE_2] giao trinh Luat lao dong CB 2005 (1) | tr.58 | BÀI 6 &gt; TIỀN LƯƠNG &gt; I. KHÁI QUÁT CHUNG VỀ TIỀN LƯƠNG &gt; 1. Đ | 0.4023
[SOURCE_3] luu-ban-nhap-tu-dong-3-4 | tr.31 | Chương VI &gt; Điều 90. Tiền lương | 0.3612</t>
        </is>
      </c>
      <c r="R8" s="6" t="inlineStr">
        <is>
          <t>GeminiProvider</t>
        </is>
      </c>
      <c r="S8" s="6" t="n">
        <v>22.6</v>
      </c>
      <c r="T8" s="7" t="n">
        <v>0.5</v>
      </c>
      <c r="U8" s="7" t="n">
        <v>0.6842105263157895</v>
      </c>
      <c r="V8" s="6" t="inlineStr">
        <is>
          <t>Yes</t>
        </is>
      </c>
      <c r="W8" s="6" t="inlineStr">
        <is>
          <t>n/a</t>
        </is>
      </c>
      <c r="X8" s="6" t="inlineStr">
        <is>
          <t>PARTIAL</t>
        </is>
      </c>
      <c r="Y8" s="6" t="inlineStr">
        <is>
          <t>Thiếu từ khóa (50%)</t>
        </is>
      </c>
      <c r="Z8" s="6" t="n"/>
      <c r="AA8" s="6">
        <f>IF(Z8="",X8,Z8)</f>
        <v/>
      </c>
      <c r="AB8" s="6" t="n"/>
      <c r="AC8" s="6" t="n"/>
    </row>
    <row r="9">
      <c r="A9" s="6" t="inlineStr">
        <is>
          <t>LAW_A_008</t>
        </is>
      </c>
      <c r="B9" s="6" t="inlineStr">
        <is>
          <t>Direct Fact</t>
        </is>
      </c>
      <c r="C9" s="6" t="inlineStr">
        <is>
          <t>Theo giáo trình, làm thêm vào ngày thường được trả ít nhất bao nhiêu phần trăm?</t>
        </is>
      </c>
      <c r="D9" s="6" t="inlineStr">
        <is>
          <t>Ít nhất bằng 150% đơn giá tiền lương hoặc tiền lương thực trả của công việc đang làm.</t>
        </is>
      </c>
      <c r="E9" s="6" t="inlineStr">
        <is>
          <t>Căn cứ: phần “Bài 6 - Trả lương làm thêm giờ”, trang 59. 
Nội dung được tài liệu xác nhận: Ít nhất bằng 150% đơn giá tiền lương hoặc tiền lương thực trả của công việc đang làm.</t>
        </is>
      </c>
      <c r="F9" s="6" t="n">
        <v>59</v>
      </c>
      <c r="G9" s="6" t="inlineStr">
        <is>
          <t>Bài 6 - Trả lương làm thêm giờ</t>
        </is>
      </c>
      <c r="H9" s="6" t="inlineStr">
        <is>
          <t>150% | ngày thường</t>
        </is>
      </c>
      <c r="I9" s="6" t="inlineStr">
        <is>
          <t>Medium</t>
        </is>
      </c>
      <c r="J9" s="6" t="inlineStr">
        <is>
          <t>Single Chunk</t>
        </is>
      </c>
      <c r="K9" s="6" t="inlineStr">
        <is>
          <t>Yes</t>
        </is>
      </c>
      <c r="L9" s="6" t="inlineStr">
        <is>
          <t>Answer from document</t>
        </is>
      </c>
      <c r="M9" s="6" t="n"/>
      <c r="N9" s="6" t="inlineStr">
        <is>
          <t>giao trinh Luat lao dong CB 2005 (1)</t>
        </is>
      </c>
      <c r="O9" s="6" t="inlineStr">
        <is>
          <t>Theo tài liệu được cung cấp, người lao động làm thêm giờ vào ngày thường được trả lương ít nhất bằng **150%** tính theo đơn giá tiền lương hoặc tiền lương theo công việc đang làm [SOURCE_1][SOURCE_2][SOURCE_3][SOURCE_4][SOURCE_5].</t>
        </is>
      </c>
      <c r="P9" s="6" t="inlineStr">
        <is>
          <t>[SOURCE_1] so-tay-kien-thuc-phap-luat-lao-dong-cdi | tr.19 | Trả lời: | 0.9585
[SOURCE_2] giao trinh Luat lao dong CB 2005 (1) | tr.59 | 4. Trả lương khi làm thêm giờ | 0.9547
[SOURCE_3] Văn-bản-hợp-nhất-18-VBHN-VPQH | tr.38 | Điều 98. Tiền lương làm thêm giờ, làm việc vào ban đêm | 0.9278
[SOURCE_4] ILO-VCCI_Labour-Law-Guide-Book-V04-Final | tr.100 | 1. Tiền lương làm thêm giờ225 &gt; (a) Đối với NLĐ hưởng lương  | 0.9243
[SOURCE_5] giao trinh Luat lao dong CB 2005 (1) | tr.80 | · Các điều kiện và nguyên tắc làm thêm đến 300 giờ trong một | 0.8973</t>
        </is>
      </c>
      <c r="Q9" s="6" t="inlineStr">
        <is>
          <t>[SOURCE_1] so-tay-kien-thuc-phap-luat-lao-dong-cdi | tr.19 | Trả lời: | 0.9585
[SOURCE_2] giao trinh Luat lao dong CB 2005 (1) | tr.59 | 4. Trả lương khi làm thêm giờ | 0.9547
[SOURCE_3] Văn-bản-hợp-nhất-18-VBHN-VPQH | tr.38 | Điều 98. Tiền lương làm thêm giờ, làm việc vào ban đêm | 0.9278
[SOURCE_4] ILO-VCCI_Labour-Law-Guide-Book-V04-Final | tr.100 | 1. Tiền lương làm thêm giờ225 &gt; (a) Đối với NLĐ hưởng lương  | 0.9243
[SOURCE_5] giao trinh Luat lao dong CB 2005 (1) | tr.80 | · Các điều kiện và nguyên tắc làm thêm đến 300 giờ trong một | 0.8973</t>
        </is>
      </c>
      <c r="R9" s="6" t="inlineStr">
        <is>
          <t>GeminiProvider</t>
        </is>
      </c>
      <c r="S9" s="6" t="n">
        <v>19.8</v>
      </c>
      <c r="T9" s="7" t="n">
        <v>1</v>
      </c>
      <c r="U9" s="7" t="n">
        <v>0.9333333333333333</v>
      </c>
      <c r="V9" s="6" t="inlineStr">
        <is>
          <t>Yes</t>
        </is>
      </c>
      <c r="W9" s="6" t="inlineStr">
        <is>
          <t>Yes</t>
        </is>
      </c>
      <c r="X9" s="6" t="inlineStr">
        <is>
          <t>PASS</t>
        </is>
      </c>
      <c r="Y9" s="6" t="inlineStr"/>
      <c r="Z9" s="6" t="n"/>
      <c r="AA9" s="6">
        <f>IF(Z9="",X9,Z9)</f>
        <v/>
      </c>
      <c r="AB9" s="6" t="n"/>
      <c r="AC9" s="6" t="n"/>
    </row>
    <row r="10">
      <c r="A10" s="6" t="inlineStr">
        <is>
          <t>LAW_A_009</t>
        </is>
      </c>
      <c r="B10" s="6" t="inlineStr">
        <is>
          <t>Direct Fact</t>
        </is>
      </c>
      <c r="C10" s="6" t="inlineStr">
        <is>
          <t>Theo giáo trình, làm thêm vào ngày nghỉ hằng tuần được trả ít nhất bao nhiêu?</t>
        </is>
      </c>
      <c r="D10" s="6" t="inlineStr">
        <is>
          <t>Ít nhất bằng 200%.</t>
        </is>
      </c>
      <c r="E10" s="6" t="inlineStr">
        <is>
          <t>Căn cứ: phần “Bài 6 - Trả lương làm thêm giờ”, trang 59. 
Nội dung được tài liệu xác nhận: Ít nhất bằng 200%.</t>
        </is>
      </c>
      <c r="F10" s="6" t="n">
        <v>59</v>
      </c>
      <c r="G10" s="6" t="inlineStr">
        <is>
          <t>Bài 6 - Trả lương làm thêm giờ</t>
        </is>
      </c>
      <c r="H10" s="6" t="inlineStr">
        <is>
          <t>200% | ngày nghỉ hàng tuần</t>
        </is>
      </c>
      <c r="I10" s="6" t="inlineStr">
        <is>
          <t>Medium</t>
        </is>
      </c>
      <c r="J10" s="6" t="inlineStr">
        <is>
          <t>Single Chunk</t>
        </is>
      </c>
      <c r="K10" s="6" t="inlineStr">
        <is>
          <t>Yes</t>
        </is>
      </c>
      <c r="L10" s="6" t="inlineStr">
        <is>
          <t>Answer from document</t>
        </is>
      </c>
      <c r="M10" s="6" t="n"/>
      <c r="N10" s="6" t="inlineStr">
        <is>
          <t>giao trinh Luat lao dong CB 2005 (1)</t>
        </is>
      </c>
      <c r="O10" s="6" t="inlineStr">
        <is>
          <t>Theo giáo trình, người lao động làm thêm giờ vào ngày nghỉ hàng tuần được trả lương ít nhất bằng 200% tính theo đơn giá tiền lương hoặc tiền lương thực trả của công việc đang làm [SOURCE_4], [SOURCE_5].</t>
        </is>
      </c>
      <c r="P10" s="6" t="inlineStr">
        <is>
          <t>[SOURCE_4] giao trinh Luat lao dong CB 2005 (1) | tr.59 | 4. Trả lương khi làm thêm giờ | 0.9096
[SOURCE_5] giao trinh Luat lao dong CB 2005 (1) | tr.80 | · Các điều kiện và nguyên tắc làm thêm đến 300 giờ trong một | 0.8598</t>
        </is>
      </c>
      <c r="Q10" s="6" t="inlineStr">
        <is>
          <t>[SOURCE_1] so-tay-kien-thuc-phap-luat-lao-dong-cdi | tr.19 | Trả lời: | 0.9454
[SOURCE_2] Văn-bản-hợp-nhất-18-VBHN-VPQH | tr.38 | Điều 98. Tiền lương làm thêm giờ, làm việc vào ban đêm | 0.9207
[SOURCE_3] ILO-VCCI_Labour-Law-Guide-Book-V04-Final | tr.100 | 1. Tiền lương làm thêm giờ225 &gt; (a) Đối với NLĐ hưởng lương  | 0.9207
[SOURCE_4] giao trinh Luat lao dong CB 2005 (1) | tr.59 | 4. Trả lương khi làm thêm giờ | 0.9096
[SOURCE_5] giao trinh Luat lao dong CB 2005 (1) | tr.80 | · Các điều kiện và nguyên tắc làm thêm đến 300 giờ trong một | 0.8598</t>
        </is>
      </c>
      <c r="R10" s="6" t="inlineStr">
        <is>
          <t>GeminiProvider</t>
        </is>
      </c>
      <c r="S10" s="6" t="n">
        <v>17.5</v>
      </c>
      <c r="T10" s="7" t="n">
        <v>1</v>
      </c>
      <c r="U10" s="7" t="n">
        <v>1</v>
      </c>
      <c r="V10" s="6" t="inlineStr">
        <is>
          <t>Yes</t>
        </is>
      </c>
      <c r="W10" s="6" t="inlineStr">
        <is>
          <t>Yes</t>
        </is>
      </c>
      <c r="X10" s="6" t="inlineStr">
        <is>
          <t>PASS</t>
        </is>
      </c>
      <c r="Y10" s="6" t="inlineStr"/>
      <c r="Z10" s="6" t="n"/>
      <c r="AA10" s="6">
        <f>IF(Z10="",X10,Z10)</f>
        <v/>
      </c>
      <c r="AB10" s="6" t="n"/>
      <c r="AC10" s="6" t="n"/>
    </row>
    <row r="11">
      <c r="A11" s="6" t="inlineStr">
        <is>
          <t>LAW_A_010</t>
        </is>
      </c>
      <c r="B11" s="6" t="inlineStr">
        <is>
          <t>Direct Fact</t>
        </is>
      </c>
      <c r="C11" s="6" t="inlineStr">
        <is>
          <t>Theo giáo trình, làm thêm vào ngày lễ/ngày nghỉ hưởng lương được trả ít nhất bao nhiêu?</t>
        </is>
      </c>
      <c r="D11" s="6" t="inlineStr">
        <is>
          <t>Ít nhất bằng 300% theo quy định được tài liệu trình bày.</t>
        </is>
      </c>
      <c r="E11" s="6" t="inlineStr">
        <is>
          <t>Căn cứ: phần “Bài 6 - Trả lương làm thêm giờ”, trang 59. 
Nội dung được tài liệu xác nhận: Ít nhất bằng 300% theo quy định được tài liệu trình bày.</t>
        </is>
      </c>
      <c r="F11" s="6" t="n">
        <v>59</v>
      </c>
      <c r="G11" s="6" t="inlineStr">
        <is>
          <t>Bài 6 - Trả lương làm thêm giờ</t>
        </is>
      </c>
      <c r="H11" s="6" t="inlineStr">
        <is>
          <t>300% | ngày lễ | nghỉ hưởng lương</t>
        </is>
      </c>
      <c r="I11" s="6" t="inlineStr">
        <is>
          <t>Medium</t>
        </is>
      </c>
      <c r="J11" s="6" t="inlineStr">
        <is>
          <t>Single Chunk</t>
        </is>
      </c>
      <c r="K11" s="6" t="inlineStr">
        <is>
          <t>Yes</t>
        </is>
      </c>
      <c r="L11" s="6" t="inlineStr">
        <is>
          <t>Answer from document</t>
        </is>
      </c>
      <c r="M11" s="6" t="n"/>
      <c r="N11" s="6" t="inlineStr">
        <is>
          <t>giao trinh Luat lao dong CB 2005 (1)</t>
        </is>
      </c>
      <c r="O11" s="6" t="inlineStr">
        <is>
          <t>Theo giáo trình, người lao động làm thêm vào ngày lễ, ngày nghỉ có hưởng lương được trả lương ít nhất bằng 300% tính theo đơn giá tiền lương hoặc tiền lương thực trả của công việc đang làm [SOURCE_2]. 
(Thông tin này cũng đồng nhất với các văn bản pháp luật và tài liệu hướng dẫn liên quan [SOURCE_1], [SOURCE_3], [SOURCE_4], [SOURCE_5]).</t>
        </is>
      </c>
      <c r="P11" s="6" t="inlineStr">
        <is>
          <t>[SOURCE_1] so-tay-kien-thuc-phap-luat-lao-dong-cdi | tr.19 | Trả lời: | 0.9537
[SOURCE_2] giao trinh Luat lao dong CB 2005 (1) | tr.59 | 4. Trả lương khi làm thêm giờ | 0.9412
[SOURCE_3] Văn-bản-hợp-nhất-18-VBHN-VPQH | tr.38 | Điều 98. Tiền lương làm thêm giờ, làm việc vào ban đêm | 0.9356
[SOURCE_4] luu-ban-nhap-tu-dong-3-4 | tr.424 | Điều 25. Tiền lương làm thêm giờ, làm việc vào ban đêm | 0.9305
[SOURCE_5] ILO-VCCI_Labour-Law-Guide-Book-V04-Final | tr.100 | 1. Tiền lương làm thêm giờ225 &gt; (a) Đối với NLĐ hưởng lương  | 0.9082</t>
        </is>
      </c>
      <c r="Q11" s="6" t="inlineStr">
        <is>
          <t>[SOURCE_1] so-tay-kien-thuc-phap-luat-lao-dong-cdi | tr.19 | Trả lời: | 0.9537
[SOURCE_2] giao trinh Luat lao dong CB 2005 (1) | tr.59 | 4. Trả lương khi làm thêm giờ | 0.9412
[SOURCE_3] Văn-bản-hợp-nhất-18-VBHN-VPQH | tr.38 | Điều 98. Tiền lương làm thêm giờ, làm việc vào ban đêm | 0.9356
[SOURCE_4] luu-ban-nhap-tu-dong-3-4 | tr.424 | Điều 25. Tiền lương làm thêm giờ, làm việc vào ban đêm | 0.9305
[SOURCE_5] ILO-VCCI_Labour-Law-Guide-Book-V04-Final | tr.100 | 1. Tiền lương làm thêm giờ225 &gt; (a) Đối với NLĐ hưởng lương  | 0.9082</t>
        </is>
      </c>
      <c r="R11" s="6" t="inlineStr">
        <is>
          <t>GeminiProvider</t>
        </is>
      </c>
      <c r="S11" s="6" t="n">
        <v>18.6</v>
      </c>
      <c r="T11" s="7" t="n">
        <v>0.6666666666666666</v>
      </c>
      <c r="U11" s="7" t="n">
        <v>0.625</v>
      </c>
      <c r="V11" s="6" t="inlineStr">
        <is>
          <t>Yes</t>
        </is>
      </c>
      <c r="W11" s="6" t="inlineStr">
        <is>
          <t>Yes</t>
        </is>
      </c>
      <c r="X11" s="6" t="inlineStr">
        <is>
          <t>PARTIAL</t>
        </is>
      </c>
      <c r="Y11" s="6" t="inlineStr">
        <is>
          <t>Thiếu từ khóa (67%)</t>
        </is>
      </c>
      <c r="Z11" s="6" t="n"/>
      <c r="AA11" s="6">
        <f>IF(Z11="",X11,Z11)</f>
        <v/>
      </c>
      <c r="AB11" s="6" t="n"/>
      <c r="AC11" s="6" t="n"/>
    </row>
    <row r="12">
      <c r="A12" s="6" t="inlineStr">
        <is>
          <t>LAW_A_011</t>
        </is>
      </c>
      <c r="B12" s="6" t="inlineStr">
        <is>
          <t>Rule</t>
        </is>
      </c>
      <c r="C12" s="6" t="inlineStr">
        <is>
          <t>Giới hạn làm thêm giờ mà giáo trình nêu là bao nhiêu?</t>
        </is>
      </c>
      <c r="D12" s="6" t="inlineStr">
        <is>
          <t>Không quá 4 giờ trong một ngày, 200 giờ trong một năm; một số trường hợp đặc biệt không quá 300 giờ trong một năm.</t>
        </is>
      </c>
      <c r="E12" s="6" t="inlineStr">
        <is>
          <t>Căn cứ: phần “Bài 7 - Làm thêm giờ”, trang 79. 
Nội dung được tài liệu xác nhận: Không quá 4 giờ trong một ngày, 200 giờ trong một năm; một số trường hợp đặc biệt không quá 300 giờ trong một năm.</t>
        </is>
      </c>
      <c r="F12" s="6" t="n">
        <v>79</v>
      </c>
      <c r="G12" s="6" t="inlineStr">
        <is>
          <t>Bài 7 - Làm thêm giờ</t>
        </is>
      </c>
      <c r="H12" s="6" t="inlineStr">
        <is>
          <t>4 giờ/ngày | 200 giờ/năm | 300 giờ/năm</t>
        </is>
      </c>
      <c r="I12" s="6" t="inlineStr">
        <is>
          <t>Medium</t>
        </is>
      </c>
      <c r="J12" s="6" t="inlineStr">
        <is>
          <t>Single Chunk</t>
        </is>
      </c>
      <c r="K12" s="6" t="inlineStr">
        <is>
          <t>Yes</t>
        </is>
      </c>
      <c r="L12" s="6" t="inlineStr">
        <is>
          <t>Answer from document</t>
        </is>
      </c>
      <c r="M12" s="6" t="n"/>
      <c r="N12" s="6" t="inlineStr">
        <is>
          <t>giao trinh Luat lao dong CB 2005 (1)</t>
        </is>
      </c>
      <c r="O12" s="6" t="inlineStr">
        <is>
          <t>Theo các tài liệu được cung cấp, giới hạn số giờ làm thêm được quy định cụ thể theo ngày, theo tháng và theo năm như sau:
**1. Giới hạn theo ngày:**
* Tổng số giờ làm thêm không quá **50% số giờ làm việc bình thường trong 01 ngày** khi làm thêm vào ngày làm việc bình thường [SOURCE_3], [SOURCE_4].
* Trường hợp áp dụng quy định thời giờ làm việc bình thường theo tuần, làm việc không trọn thời gian, hoặc làm thêm vào ngày nghỉ lễ, tết, ngày nghỉ hằng tuần thì tổng số giờ làm việc bình thường và số giờ làm thêm **không quá 12 giờ trong 01 ngày** [SOURCE_3], [SOURCE_4].
**2. Giới hạn theo tháng:**
* Theo quy định cũ (Điều 106) là **không quá 30 giờ trong 01 tháng** [SOURCE_3]. 
* Từ ngày 01/01/2021, tổng số giờ làm thêm của người lao động **không quá 40 giờ trong 01 tháng** [SOURCE_4].
**3. Giới hạn theo năm:**
* Tổng số giờ làm thêm **không quá 200 giờ trong 01 năm** [SOURCE_3].
* Đối với một số trường hợp đặc biệt do Chính phủ quy định (như giải quyết công việc đòi hỏi trình độ kỹ thuật cao mà thị trường không cung ứng đủ, công việc cấp bách không thể trì hoãn, dịch vụ công, khám chữa bệnh, giáo dục,...), số giờ làm thêm được phép tối đa **không quá 300 giờ trong 01 năm** [SOURCE_1], [SOURCE_2], [SOURCE_3</t>
        </is>
      </c>
      <c r="P12" s="6" t="inlineStr">
        <is>
          <t>[SOURCE_1] ILO-VCCI_Labour-Law-Guide-Book-V04-Final | tr.112 | (ii) Giới hạn số giờ làm thêm trong năm | 0.6783
[SOURCE_2] ILO-VCCI_Labour-Law-Guide-Book-V04-Final | tr.112 | (ii) Giới hạn số giờ làm thêm trong năm | 0.4942
[SOURCE_3] luu-ban-nhap-tu-dong-3-4 | tr.101 | Điều 106. Làm thêm giờ | 0.4728
[SOURCE_4] ILO-VCCI_Labour-Law-Guide-Book-V04-Final | tr.111 | (i) Giới hạn số giờ làm thêm trong ngày và trong tháng | 0.436</t>
        </is>
      </c>
      <c r="Q12" s="6" t="inlineStr">
        <is>
          <t>[SOURCE_1] ILO-VCCI_Labour-Law-Guide-Book-V04-Final | tr.112 | (ii) Giới hạn số giờ làm thêm trong năm | 0.6783
[SOURCE_2] ILO-VCCI_Labour-Law-Guide-Book-V04-Final | tr.112 | (ii) Giới hạn số giờ làm thêm trong năm | 0.4942
[SOURCE_3] luu-ban-nhap-tu-dong-3-4 | tr.101 | Điều 106. Làm thêm giờ | 0.4728
[SOURCE_4] ILO-VCCI_Labour-Law-Guide-Book-V04-Final | tr.111 | (i) Giới hạn số giờ làm thêm trong ngày và trong tháng | 0.436</t>
        </is>
      </c>
      <c r="R12" s="6" t="inlineStr">
        <is>
          <t>GeminiProvider</t>
        </is>
      </c>
      <c r="S12" s="6" t="n">
        <v>24.6</v>
      </c>
      <c r="T12" s="7" t="n">
        <v>0</v>
      </c>
      <c r="U12" s="7" t="n">
        <v>1</v>
      </c>
      <c r="V12" s="6" t="inlineStr">
        <is>
          <t>No</t>
        </is>
      </c>
      <c r="W12" s="6" t="inlineStr">
        <is>
          <t>No</t>
        </is>
      </c>
      <c r="X12" s="6" t="inlineStr">
        <is>
          <t>PARTIAL</t>
        </is>
      </c>
      <c r="Y12" s="6" t="inlineStr">
        <is>
          <t>Thiếu từ khóa (0%); Không trích tài liệu mong đợi (không có trong ngữ cảnh); Không trích đúng trang 79 (±1)</t>
        </is>
      </c>
      <c r="Z12" s="6" t="n"/>
      <c r="AA12" s="6">
        <f>IF(Z12="",X12,Z12)</f>
        <v/>
      </c>
      <c r="AB12" s="6" t="n"/>
      <c r="AC12" s="6" t="n"/>
    </row>
    <row r="13">
      <c r="A13" s="6" t="inlineStr">
        <is>
          <t>LAW_A_012</t>
        </is>
      </c>
      <c r="B13" s="6" t="inlineStr">
        <is>
          <t>Concept</t>
        </is>
      </c>
      <c r="C13" s="6" t="inlineStr">
        <is>
          <t>Vì sao phương pháp thỏa thuận có vai trò quan trọng trong Luật lao động theo giáo trình?</t>
        </is>
      </c>
      <c r="D13" s="6" t="inlineStr">
        <is>
          <t>Vì quan hệ lao động có bản chất tự do thương lượng; các bên thỏa thuận trên cơ sở tự nguyện, bình đẳng để cùng có lợi và thực hiện nghĩa vụ.</t>
        </is>
      </c>
      <c r="E13" s="6" t="inlineStr">
        <is>
          <t>Căn cứ: phần “Bài 1 - Phương pháp điều chỉnh”
Nội dung được tài liệu xác nhận: Vì quan hệ lao động có bản chất tự do thương lượng; các bên thỏa thuận trên cơ sở tự nguyện, bình đẳng để cùng có lợi và thực hiện nghĩa vụ.</t>
        </is>
      </c>
      <c r="F13" s="6" t="n"/>
      <c r="G13" s="6" t="inlineStr">
        <is>
          <t>Bài 1 - Phương pháp điều chỉnh</t>
        </is>
      </c>
      <c r="H13" s="6" t="inlineStr">
        <is>
          <t>thỏa thuận | tự nguyện | bình đẳng | cùng có lợi</t>
        </is>
      </c>
      <c r="I13" s="6" t="inlineStr">
        <is>
          <t>Medium</t>
        </is>
      </c>
      <c r="J13" s="6" t="inlineStr">
        <is>
          <t>Single Chunk</t>
        </is>
      </c>
      <c r="K13" s="6" t="inlineStr">
        <is>
          <t>Yes</t>
        </is>
      </c>
      <c r="L13" s="6" t="inlineStr">
        <is>
          <t>Answer from document</t>
        </is>
      </c>
      <c r="M13" s="6" t="n"/>
      <c r="N13" s="6" t="inlineStr">
        <is>
          <t>giao trinh Luat lao dong CB 2005 (1)</t>
        </is>
      </c>
      <c r="O13" s="6" t="inlineStr">
        <is>
          <t>Theo giáo trình, phương pháp thỏa thuận có vai trò quan trọng trong Luật lao động vì các lý do sau:
* **Xuất phát từ bản chất của quan hệ lao động:** Bản chất của quan hệ lao động là tự do thương lượng [SOURCE_2].
* **Phạm vi áp dụng chủ đạo:** Phương pháp này chủ yếu áp dụng trong trường hợp xác lập quan hệ lao động giữa người lao động với người sử dụng lao động, và trong việc xác lập thỏa ước lao động tập thể [SOURCE_2].
* **Bảo đảm lợi ích và nghĩa vụ của các bên:** Khi tham gia vào quan hệ lao động, các bên cùng nhau thỏa thuận các vấn đề liên quan trong quá trình lao động trên cơ sở tự nguyện, bình đẳng [SOURCE_1], [SOURCE_2]. Việc này nhằm đảm bảo cho cả hai bên cùng có lợi và tạo điều kiện thuận lợi để các bên thực hiện tốt các</t>
        </is>
      </c>
      <c r="P13" s="6" t="inlineStr">
        <is>
          <t>[SOURCE_1] giao trinh Luat lao dong CB 2005 (1) | tr.7 | a - Phương pháp thỏa thuận | 0.9808
[SOURCE_2] giao trinh Luat lao dong CB 2005 (1) | tr.7 | a - Phương pháp thỏa thuận | 0.9449</t>
        </is>
      </c>
      <c r="Q13" s="6" t="inlineStr">
        <is>
          <t>[SOURCE_1] giao trinh Luat lao dong CB 2005 (1) | tr.7 | a - Phương pháp thỏa thuận | 0.9808
[SOURCE_2] giao trinh Luat lao dong CB 2005 (1) | tr.7 | a - Phương pháp thỏa thuận | 0.9449
[SOURCE_3] giao trinh Luat lao dong CB 2005 (1) | tr.49 | 4. Ý nghĩa của thỏa ước lao động tập thể | 0.3944</t>
        </is>
      </c>
      <c r="R13" s="6" t="inlineStr">
        <is>
          <t>GeminiProvider</t>
        </is>
      </c>
      <c r="S13" s="6" t="n">
        <v>27.4</v>
      </c>
      <c r="T13" s="7" t="n">
        <v>1</v>
      </c>
      <c r="U13" s="7" t="n">
        <v>1</v>
      </c>
      <c r="V13" s="6" t="inlineStr">
        <is>
          <t>Yes</t>
        </is>
      </c>
      <c r="W13" s="6" t="inlineStr">
        <is>
          <t>n/a</t>
        </is>
      </c>
      <c r="X13" s="6" t="inlineStr">
        <is>
          <t>PASS</t>
        </is>
      </c>
      <c r="Y13" s="6" t="inlineStr"/>
      <c r="Z13" s="6" t="n"/>
      <c r="AA13" s="6">
        <f>IF(Z13="",X13,Z13)</f>
        <v/>
      </c>
      <c r="AB13" s="6" t="n"/>
      <c r="AC13" s="6" t="n"/>
    </row>
    <row r="14">
      <c r="A14" s="6" t="inlineStr">
        <is>
          <t>LAW_A_013</t>
        </is>
      </c>
      <c r="B14" s="6" t="inlineStr">
        <is>
          <t>Comparison</t>
        </is>
      </c>
      <c r="C14" s="6" t="inlineStr">
        <is>
          <t>Phương pháp thỏa thuận trong Luật lao động khác Luật dân sự ở điểm nào theo giáo trình?</t>
        </is>
      </c>
      <c r="D14" s="6" t="inlineStr">
        <is>
          <t>Giáo trình cho rằng trong dân sự các chủ thể bình đẳng và độc lập về địa vị kinh tế nên thỏa thuận được sử dụng triệt để; trong lao động, thỏa thuận chịu ảnh hưởng bởi quan hệ phụ thuộc và các giới hạn bảo vệ lao động.</t>
        </is>
      </c>
      <c r="E14" s="6" t="inlineStr">
        <is>
          <t>Căn cứ: phần “Bài 1 - Phương pháp điều chỉnh” 
Nội dung được tài liệu xác nhận: Giáo trình cho rằng trong dân sự các chủ thể bình đẳng và độc lập về địa vị kinh tế nên thỏa thuận được sử dụng triệt để; trong lao động, thỏa thuận chịu ảnh hưởng bởi quan hệ phụ thuộc và các giới hạn bảo vệ lao động.</t>
        </is>
      </c>
      <c r="F14" s="6" t="n"/>
      <c r="G14" s="6" t="inlineStr">
        <is>
          <t>Bài 1 - Phương pháp điều chỉnh</t>
        </is>
      </c>
      <c r="H14" s="6" t="inlineStr">
        <is>
          <t>dân sự | lao động | bình đẳng | phụ thuộc</t>
        </is>
      </c>
      <c r="I14" s="6" t="inlineStr">
        <is>
          <t>Medium</t>
        </is>
      </c>
      <c r="J14" s="6" t="inlineStr">
        <is>
          <t>Multiple Chunks</t>
        </is>
      </c>
      <c r="K14" s="6" t="inlineStr">
        <is>
          <t>Yes</t>
        </is>
      </c>
      <c r="L14" s="6" t="inlineStr">
        <is>
          <t>Answer from document</t>
        </is>
      </c>
      <c r="M14" s="6" t="n"/>
      <c r="N14" s="6" t="inlineStr">
        <is>
          <t>giao trinh Luat lao dong CB 2005 (1)</t>
        </is>
      </c>
      <c r="O14" s="6" t="inlineStr">
        <is>
          <t>Dựa trên tài liệu được cung cấp, phương pháp thỏa thuận trong Luật lao động khác với Luật dân sự ở các điểm sau [SOURCE_1]:
* **Trong Luật dân sự:**
 * Các chủ thể tham gia quan hệ xã hội bình đẳng và độc lập với nhau về địa vị kinh tế [SOURCE_1].
 * Phương pháp thỏa thuận được sử dụng triệt để và tác động lên các quan hệ dân sự trong suốt quá trình từ khi xác lập đến khi chấm dứt [SOURCE_1].
* **Trong Luật lao động:**
 * Các chủ thể tham gia vào quan hệ lao động không bình đẳng về địa vị và không độc lập với nhau về tổ chức [SOURCE_1].
 * Nhà nước bằng pháp luật đặt ra những quy định nhằm bảo vệ và nâng cao vị trí của người lao động để họ bình đẳng với người sử dụng lao động [SOURCE_1].
 * Tuy là sự tự do, thương lượng, tự nguyện thỏa thuận trong khuôn khổ pháp luật, nhưng trong quan hệ lao động luôn có yếu tố quản lý [SOURCE_1].</t>
        </is>
      </c>
      <c r="P14" s="6" t="inlineStr">
        <is>
          <t>[SOURCE_1] giao trinh Luat lao dong CB 2005 (1) | tr.7 | a - Phương pháp thỏa thuận | 0.9941</t>
        </is>
      </c>
      <c r="Q14" s="6" t="inlineStr">
        <is>
          <t>[SOURCE_1] giao trinh Luat lao dong CB 2005 (1) | tr.7 | a - Phương pháp thỏa thuận | 0.9941
[SOURCE_2] giao trinh Luat lao dong CB 2005 (1) | tr.7 | a - Phương pháp thỏa thuận | 0.8212</t>
        </is>
      </c>
      <c r="R14" s="6" t="inlineStr">
        <is>
          <t>GeminiProvider</t>
        </is>
      </c>
      <c r="S14" s="6" t="n">
        <v>29.2</v>
      </c>
      <c r="T14" s="7" t="n">
        <v>0.75</v>
      </c>
      <c r="U14" s="7" t="n">
        <v>0.7368421052631579</v>
      </c>
      <c r="V14" s="6" t="inlineStr">
        <is>
          <t>Yes</t>
        </is>
      </c>
      <c r="W14" s="6" t="inlineStr">
        <is>
          <t>n/a</t>
        </is>
      </c>
      <c r="X14" s="6" t="inlineStr">
        <is>
          <t>PASS</t>
        </is>
      </c>
      <c r="Y14" s="6" t="inlineStr"/>
      <c r="Z14" s="6" t="n"/>
      <c r="AA14" s="6">
        <f>IF(Z14="",X14,Z14)</f>
        <v/>
      </c>
      <c r="AB14" s="6" t="n"/>
      <c r="AC14" s="6" t="n"/>
    </row>
    <row r="15">
      <c r="A15" s="6" t="inlineStr">
        <is>
          <t>LAW_A_014</t>
        </is>
      </c>
      <c r="B15" s="6" t="inlineStr">
        <is>
          <t>Concept</t>
        </is>
      </c>
      <c r="C15" s="6" t="inlineStr">
        <is>
          <t>Quan hệ bồi thường thiệt hại trong lao động phát sinh khi nào?</t>
        </is>
      </c>
      <c r="D15" s="6" t="inlineStr">
        <is>
          <t>Phát sinh khi một chủ thể trong quá trình thực hiện quyền, nghĩa vụ lao động gây thiệt hại về sức khỏe, tính mạng, tài sản hoặc lợi ích của bên kia.</t>
        </is>
      </c>
      <c r="E15" s="6" t="inlineStr">
        <is>
          <t>Căn cứ: phần “Bài 1 - Bồi thường thiệt hại”, trang 6.
Nội dung được tài liệu xác nhận: Phát sinh khi một chủ thể trong quá trình thực hiện quyền, nghĩa vụ lao động gây thiệt hại về sức khỏe, tính mạng, tài sản hoặc lợi ích của bên kia.</t>
        </is>
      </c>
      <c r="F15" s="6" t="n">
        <v>6</v>
      </c>
      <c r="G15" s="6" t="inlineStr">
        <is>
          <t>Bài 1 - Bồi thường thiệt hại</t>
        </is>
      </c>
      <c r="H15" s="6" t="inlineStr">
        <is>
          <t>thiệt hại | sức khỏe | tính mạng | tài sản</t>
        </is>
      </c>
      <c r="I15" s="6" t="inlineStr">
        <is>
          <t>Medium</t>
        </is>
      </c>
      <c r="J15" s="6" t="inlineStr">
        <is>
          <t>Single Chunk</t>
        </is>
      </c>
      <c r="K15" s="6" t="inlineStr">
        <is>
          <t>Yes</t>
        </is>
      </c>
      <c r="L15" s="6" t="inlineStr">
        <is>
          <t>Answer from document</t>
        </is>
      </c>
      <c r="M15" s="6" t="n"/>
      <c r="N15" s="6" t="inlineStr">
        <is>
          <t>giao trinh Luat lao dong CB 2005 (1)</t>
        </is>
      </c>
      <c r="O15" s="6" t="inlineStr">
        <is>
          <t>Theo tài liệu được cung cấp, quan hệ bồi thường thiệt hại trong lao động phát sinh khi các chủ thể khi tham gia quan hệ lao động thực hiện các quyền và nghĩa vụ lao động, mà một trong các chủ thể gây thiệt hại về sức khỏe, tính mạng, tài sản, hoặc lợi ích của bên kia [SOURCE_1].</t>
        </is>
      </c>
      <c r="P15" s="6" t="inlineStr">
        <is>
          <t>[SOURCE_1] giao trinh Luat lao dong CB 2005 (1) | tr.5 | (2) Quan hệ học nghề | 0.9279</t>
        </is>
      </c>
      <c r="Q15" s="6" t="inlineStr">
        <is>
          <t>[SOURCE_1] giao trinh Luat lao dong CB 2005 (1) | tr.5 | (2) Quan hệ học nghề | 0.9279
[SOURCE_2] giao trinh Luat lao dong CB 2005 (1) | tr.5 | (2) Quan hệ học nghề | 0.8897
[SOURCE_3] giao trinh Luat lao dong CB 2005 (1) | tr.95 | - Có quan hệ nhân quả giữa hành vi vi phạm và thiệt hại tài  | 0.5862
[SOURCE_4] luu-ban-nhap-tu-dong-3-4 | tr.41 | Mục 2. TRÁCH NHIỆM VẬT CHẤT &gt; Điều 129. Bồi thường thiệt hại | 0.411</t>
        </is>
      </c>
      <c r="R15" s="6" t="inlineStr">
        <is>
          <t>GeminiProvider</t>
        </is>
      </c>
      <c r="S15" s="6" t="n">
        <v>17.9</v>
      </c>
      <c r="T15" s="7" t="n">
        <v>1</v>
      </c>
      <c r="U15" s="7" t="n">
        <v>0.92</v>
      </c>
      <c r="V15" s="6" t="inlineStr">
        <is>
          <t>Yes</t>
        </is>
      </c>
      <c r="W15" s="6" t="inlineStr">
        <is>
          <t>Yes</t>
        </is>
      </c>
      <c r="X15" s="6" t="inlineStr">
        <is>
          <t>PASS</t>
        </is>
      </c>
      <c r="Y15" s="6" t="inlineStr"/>
      <c r="Z15" s="6" t="n"/>
      <c r="AA15" s="6">
        <f>IF(Z15="",X15,Z15)</f>
        <v/>
      </c>
      <c r="AB15" s="6" t="n"/>
      <c r="AC15" s="6" t="n"/>
    </row>
    <row r="16">
      <c r="A16" s="6" t="inlineStr">
        <is>
          <t>LAW_A_015</t>
        </is>
      </c>
      <c r="B16" s="6" t="inlineStr">
        <is>
          <t>Scenario-based</t>
        </is>
      </c>
      <c r="C16" s="6" t="inlineStr">
        <is>
          <t>Một NLĐ gây thiệt hại tài sản cho NSDLĐ khi thực hiện nghĩa vụ lao động. Theo cách phân loại của giáo trình, đây thuộc nhóm quan hệ nào?</t>
        </is>
      </c>
      <c r="D16" s="6" t="inlineStr">
        <is>
          <t>Thuộc quan hệ về bồi thường thiệt hại liên quan đến quan hệ lao động.</t>
        </is>
      </c>
      <c r="E16" s="6" t="inlineStr">
        <is>
          <t>Căn cứ: phần “Bài 1 - Bồi thường thiệt hại”, trang 5. 
Nội dung được tài liệu xác nhận: Thuộc quan hệ về bồi thường thiệt hại liên quan đến quan hệ lao động.</t>
        </is>
      </c>
      <c r="F16" s="6" t="n">
        <v>5</v>
      </c>
      <c r="G16" s="6" t="inlineStr">
        <is>
          <t>Bài 1 - Bồi thường thiệt hại</t>
        </is>
      </c>
      <c r="H16" s="6" t="inlineStr">
        <is>
          <t>bồi thường thiệt hại | tài sản</t>
        </is>
      </c>
      <c r="I16" s="6" t="inlineStr">
        <is>
          <t>Hard</t>
        </is>
      </c>
      <c r="J16" s="6" t="inlineStr">
        <is>
          <t>Single Chunk</t>
        </is>
      </c>
      <c r="K16" s="6" t="inlineStr">
        <is>
          <t>Yes</t>
        </is>
      </c>
      <c r="L16" s="6" t="inlineStr">
        <is>
          <t>Answer from document</t>
        </is>
      </c>
      <c r="M16" s="6" t="n"/>
      <c r="N16" s="6" t="inlineStr">
        <is>
          <t>giao trinh Luat lao dong CB 2005 (1)</t>
        </is>
      </c>
      <c r="O16" s="6" t="inlineStr">
        <is>
          <t>Theo cách phân loại của giáo trình, trường hợp người lao động gây thiệt hại tài sản cho người sử dụng lao động khi thực hiện nghĩa vụ lao động thuộc nhóm **Quan hệ bồi thường thiệt hại tài sản** [SOURCE_1] (thuộc nhóm tổng quát là **Quan hệ về bồi thường thiệt hại** [SOURCE_2]). 
Cụ thể, khi thực hiện các quyền và nghĩa vụ lao động, nếu một trong các chủ thể gây thiệt hại tài sản cho bên kia thì sẽ phát sinh quan hệ về bồi thường thiệt hại [SOURCE_2], và quan hệ bồi thường thiệt hại tài sản là một trong ba loại của quan hệ pháp luật về bồi thường thiệt hại này [SOURCE_1].</t>
        </is>
      </c>
      <c r="P16" s="6" t="inlineStr">
        <is>
          <t>[SOURCE_1] giao trinh Luat lao dong CB 2005 (1) | tr.5 | (2) Quan hệ học nghề | 0.9491
[SOURCE_2] giao trinh Luat lao dong CB 2005 (1) | tr.5 | (2) Quan hệ học nghề | 0.8208</t>
        </is>
      </c>
      <c r="Q16" s="6" t="inlineStr">
        <is>
          <t>[SOURCE_1] giao trinh Luat lao dong CB 2005 (1) | tr.5 | (2) Quan hệ học nghề | 0.9491
[SOURCE_2] giao trinh Luat lao dong CB 2005 (1) | tr.5 | (2) Quan hệ học nghề | 0.8208
[SOURCE_3] giao trinh Luat lao dong CB 2005 (1) | tr.95 | - Có quan hệ nhân quả giữa hành vi vi phạm và thiệt hại tài  | 0.6305
[SOURCE_4] ILO-VCCI_Labour-Law-Guide-Book-V04-Final | tr.10 | CHƯƠNG I. QUAN HỆ LAO ĐỘNG VÀ HỢP ĐỒNG LAO ĐỘNG &gt; I. QUAN HỆ | 0.5306
[SOURCE_5] giao trinh Luat lao dong CB 2005 (1) | tr.95 | IV. TRÁCH NHIỆM VẬT CHẤT TRONG QUAN HỆ LAO ĐỘNG &gt; 1. Khái ni | 0.422</t>
        </is>
      </c>
      <c r="R16" s="6" t="inlineStr">
        <is>
          <t>GeminiProvider</t>
        </is>
      </c>
      <c r="S16" s="6" t="n">
        <v>20.5</v>
      </c>
      <c r="T16" s="7" t="n">
        <v>1</v>
      </c>
      <c r="U16" s="7" t="n">
        <v>0.9230769230769231</v>
      </c>
      <c r="V16" s="6" t="inlineStr">
        <is>
          <t>Yes</t>
        </is>
      </c>
      <c r="W16" s="6" t="inlineStr">
        <is>
          <t>Yes</t>
        </is>
      </c>
      <c r="X16" s="6" t="inlineStr">
        <is>
          <t>PASS</t>
        </is>
      </c>
      <c r="Y16" s="6" t="inlineStr"/>
      <c r="Z16" s="6" t="n"/>
      <c r="AA16" s="6">
        <f>IF(Z16="",X16,Z16)</f>
        <v/>
      </c>
      <c r="AB16" s="6" t="n"/>
      <c r="AC16" s="6" t="n"/>
    </row>
    <row r="17">
      <c r="A17" s="6" t="inlineStr">
        <is>
          <t>LAW_A_016</t>
        </is>
      </c>
      <c r="B17" s="6" t="inlineStr">
        <is>
          <t>Scenario-based</t>
        </is>
      </c>
      <c r="C17" s="6" t="inlineStr">
        <is>
          <t>Một người tìm việc thông qua trung tâm dịch vụ việc làm. Theo giáo trình, quan hệ này có nằm trong đối tượng điều chỉnh của Luật lao động không?</t>
        </is>
      </c>
      <c r="D17" s="6" t="inlineStr">
        <is>
          <t>Có. Đây là một dạng quan hệ về việc làm giữa NLĐ và trung tâm dịch vụ việc làm, được xếp vào các quan hệ liên quan đến quan hệ lao động.</t>
        </is>
      </c>
      <c r="E17" s="6" t="inlineStr">
        <is>
          <t>Căn cứ: phần “Bài 1 - Quan hệ việc làm”, trang 5. 
Nội dung được tài liệu xác nhận: Có. Đây là một dạng quan hệ về việc làm giữa NLĐ và trung tâm dịch vụ việc làm, được xếp vào các quan hệ liên quan đến quan hệ lao động.</t>
        </is>
      </c>
      <c r="F17" s="6" t="n">
        <v>5</v>
      </c>
      <c r="G17" s="6" t="inlineStr">
        <is>
          <t>Bài 1 - Quan hệ việc làm</t>
        </is>
      </c>
      <c r="H17" s="6" t="inlineStr">
        <is>
          <t>NLĐ | trung tâm dịch vụ việc làm | quan hệ việc làm</t>
        </is>
      </c>
      <c r="I17" s="6" t="inlineStr">
        <is>
          <t>Hard</t>
        </is>
      </c>
      <c r="J17" s="6" t="inlineStr">
        <is>
          <t>Single Chunk</t>
        </is>
      </c>
      <c r="K17" s="6" t="inlineStr">
        <is>
          <t>Yes</t>
        </is>
      </c>
      <c r="L17" s="6" t="inlineStr">
        <is>
          <t>Answer from document</t>
        </is>
      </c>
      <c r="M17" s="6" t="n"/>
      <c r="N17" s="6" t="inlineStr">
        <is>
          <t>giao trinh Luat lao dong CB 2005 (1)</t>
        </is>
      </c>
      <c r="O17" s="6" t="inlineStr">
        <is>
          <t>Dựa trên tài liệu được cung cấp, tôi không tìm thấy thông tin để trả lời câu hỏi này.</t>
        </is>
      </c>
      <c r="P17" s="6" t="inlineStr"/>
      <c r="Q17" s="6" t="inlineStr">
        <is>
          <t>[SOURCE_1] giao trinh Luat lao dong CB 2005 (1) | tr.3 | BÀI 1 &gt; KHÁI NIỆM LUẬT LAO ĐỘNG VIỆT NAM &gt; I - ĐỐI TƯỢNG VÀ  | 0.9622
[SOURCE_2] giao trinh Luat lao dong CB 2005 (1) | tr.3 | a - Quan hệ lao động | 0.6522
[SOURCE_3] luu-ban-nhap-tu-dong-3-4 | tr.73 | Điều 10. Quyền làm việc của người lao động | 0.5572</t>
        </is>
      </c>
      <c r="R17" s="6" t="inlineStr">
        <is>
          <t>GeminiProvider</t>
        </is>
      </c>
      <c r="S17" s="6" t="n">
        <v>24.5</v>
      </c>
      <c r="T17" s="7" t="n">
        <v>0</v>
      </c>
      <c r="U17" s="7" t="n">
        <v>0</v>
      </c>
      <c r="V17" s="6" t="inlineStr">
        <is>
          <t>No</t>
        </is>
      </c>
      <c r="W17" s="6" t="inlineStr">
        <is>
          <t>No</t>
        </is>
      </c>
      <c r="X17" s="6" t="inlineStr">
        <is>
          <t>FAIL</t>
        </is>
      </c>
      <c r="Y17" s="6" t="inlineStr">
        <is>
          <t>Từ chối trả lời dù câu hỏi có đáp án</t>
        </is>
      </c>
      <c r="Z17" s="6" t="n"/>
      <c r="AA17" s="6">
        <f>IF(Z17="",X17,Z17)</f>
        <v/>
      </c>
      <c r="AB17" s="6" t="n"/>
      <c r="AC17" s="6" t="n"/>
    </row>
    <row r="18">
      <c r="A18" s="6" t="inlineStr">
        <is>
          <t>LAW_A_017</t>
        </is>
      </c>
      <c r="B18" s="6" t="inlineStr">
        <is>
          <t>Multi-hop</t>
        </is>
      </c>
      <c r="C18" s="6" t="inlineStr">
        <is>
          <t>Từ cách giáo trình xác định đối tượng và phương pháp điều chỉnh, hãy giải thích vì sao HĐLĐ vừa mang tính thỏa thuận vừa chịu giới hạn pháp luật.</t>
        </is>
      </c>
      <c r="D18" s="6" t="inlineStr">
        <is>
          <t>Các bên tự do, bình đẳng, tự nguyện thỏa thuận về quá trình lao động, nhưng pháp luật đặt ra khung/chuẩn mực, trong đó quyền lợi thường được ấn định mức tối thiểu và nghĩa vụ ở mức tối đa để bảo vệ quan hệ lao động.</t>
        </is>
      </c>
      <c r="E18" s="6" t="inlineStr">
        <is>
          <t>Căn cứ: phần “Bài 1 - Đối tượng &amp; phương pháp”, trang 4. 
Nội dung được tài liệu xác nhận: Các bên tự do, bình đẳng, tự nguyện thỏa thuận về quá trình lao động, nhưng pháp luật đặt ra khung/chuẩn mực, trong đó quyền lợi thường được ấn định mức tối thiểu và nghĩa vụ ở mức tối đa để bảo vệ quan hệ lao động.</t>
        </is>
      </c>
      <c r="F18" s="6" t="n">
        <v>4</v>
      </c>
      <c r="G18" s="6" t="inlineStr">
        <is>
          <t>Bài 1 - Đối tượng &amp; phương pháp</t>
        </is>
      </c>
      <c r="H18" s="6" t="inlineStr">
        <is>
          <t>tự do thỏa thuận | khung pháp lý | quyền tối thiểu | nghĩa vụ tối đa</t>
        </is>
      </c>
      <c r="I18" s="6" t="inlineStr">
        <is>
          <t>Hard</t>
        </is>
      </c>
      <c r="J18" s="6" t="inlineStr">
        <is>
          <t>Multiple Chunks</t>
        </is>
      </c>
      <c r="K18" s="6" t="inlineStr">
        <is>
          <t>Yes</t>
        </is>
      </c>
      <c r="L18" s="6" t="inlineStr">
        <is>
          <t>Answer from document</t>
        </is>
      </c>
      <c r="M18" s="6" t="n"/>
      <c r="N18" s="6" t="inlineStr">
        <is>
          <t>giao trinh Luat lao dong CB 2005 (1)</t>
        </is>
      </c>
      <c r="O18" s="6" t="inlineStr">
        <is>
          <t>Dựa trên tài liệu được cung cấp, HĐLĐ (hay quan hệ lao động) vừa mang tính thỏa thuận vừa chịu giới hạn pháp luật vì những lý do sau:
* **Mang tính thỏa thuận:** Trong Luật lao động, phương pháp thỏa thuận cho phép hai bên cùng nhau thỏa thuận các vấn đề liên quan trong quá trình lao động trên cơ sở tự nguyện, bình đẳng nhằm bảo đảm cho hai bên cùng có lợi [SOURCE</t>
        </is>
      </c>
      <c r="P18" s="6" t="inlineStr"/>
      <c r="Q18" s="6" t="inlineStr">
        <is>
          <t>[SOURCE_1] giao trinh Luat lao dong CB 2005 (1) | tr.7 | a - Phương pháp thỏa thuận | 0.5369
[SOURCE_2] giao trinh Luat lao dong CB 2005 (1) | tr.7 | 2 - Phương pháp điều chỉnh của luật lao động | 0.4546
[SOURCE_3] giao trinh Luat lao dong CB 2005 (1) | tr.182 | 5. Đặc điểm và phân loại thẩm quyền của công đoàn &gt; a. Đặc đ | 0.4193</t>
        </is>
      </c>
      <c r="R18" s="6" t="inlineStr">
        <is>
          <t>GeminiProvider</t>
        </is>
      </c>
      <c r="S18" s="6" t="n">
        <v>21.1</v>
      </c>
      <c r="T18" s="7" t="n">
        <v>0</v>
      </c>
      <c r="U18" s="7" t="n">
        <v>0.5384615384615384</v>
      </c>
      <c r="V18" s="6" t="inlineStr">
        <is>
          <t>No</t>
        </is>
      </c>
      <c r="W18" s="6" t="inlineStr">
        <is>
          <t>No</t>
        </is>
      </c>
      <c r="X18" s="6" t="inlineStr">
        <is>
          <t>PARTIAL</t>
        </is>
      </c>
      <c r="Y18" s="6" t="inlineStr">
        <is>
          <t>Thiếu từ khóa (0%); Không trích tài liệu mong đợi (có trong ngữ cảnh); Không trích đúng trang 4 (±1)</t>
        </is>
      </c>
      <c r="Z18" s="6" t="n"/>
      <c r="AA18" s="6">
        <f>IF(Z18="",X18,Z18)</f>
        <v/>
      </c>
      <c r="AB18" s="6" t="n"/>
      <c r="AC18" s="6" t="n"/>
    </row>
    <row r="19">
      <c r="A19" s="6" t="inlineStr">
        <is>
          <t>LAW_A_018</t>
        </is>
      </c>
      <c r="B19" s="6" t="inlineStr">
        <is>
          <t>Multi-hop</t>
        </is>
      </c>
      <c r="C19" s="6" t="inlineStr">
        <is>
          <t>Giáo trình liên hệ quan hệ tranh chấp lao động và đình công với mục tiêu ổn định quan hệ lao động như thế nào?</t>
        </is>
      </c>
      <c r="D19" s="6" t="inlineStr">
        <is>
          <t>Việc giải quyết tranh chấp/đình công do các cơ quan, tổ chức có thẩm quyền thực hiện nhằm bảo đảm quyền lợi các bên và duy trì sự hài hòa, ổn định của quan hệ lao động.</t>
        </is>
      </c>
      <c r="E19" s="6" t="inlineStr">
        <is>
          <t>Căn cứ: phần “Bài 1 - Tranh chấp lao động”, trang 7. 
Nội dung được tài liệu xác nhận: Việc giải quyết tranh chấp/đình công do các cơ quan, tổ chức có thẩm quyền thực hiện nhằm bảo đảm quyền lợi các bên và duy trì sự hài hòa, ổn định của quan hệ lao động.</t>
        </is>
      </c>
      <c r="F19" s="6" t="n">
        <v>7</v>
      </c>
      <c r="G19" s="6" t="inlineStr">
        <is>
          <t>Bài 1 - Tranh chấp lao động</t>
        </is>
      </c>
      <c r="H19" s="6" t="inlineStr">
        <is>
          <t>tranh chấp | đình công | cơ quan thẩm quyền | hài hòa | ổn định</t>
        </is>
      </c>
      <c r="I19" s="6" t="inlineStr">
        <is>
          <t>Hard</t>
        </is>
      </c>
      <c r="J19" s="6" t="inlineStr">
        <is>
          <t>Single Chunk</t>
        </is>
      </c>
      <c r="K19" s="6" t="inlineStr">
        <is>
          <t>Yes</t>
        </is>
      </c>
      <c r="L19" s="6" t="inlineStr">
        <is>
          <t>Answer from document</t>
        </is>
      </c>
      <c r="M19" s="6" t="n"/>
      <c r="N19" s="6" t="inlineStr">
        <is>
          <t>giao trinh Luat lao dong CB 2005 (1)</t>
        </is>
      </c>
      <c r="O19" s="6" t="inlineStr"/>
      <c r="P19" s="6" t="inlineStr"/>
      <c r="Q19" s="6" t="inlineStr"/>
      <c r="R19" s="6" t="inlineStr"/>
      <c r="S19" s="6" t="n"/>
      <c r="T19" s="7" t="n"/>
      <c r="U19" s="7" t="n"/>
      <c r="V19" s="6" t="n"/>
      <c r="W19" s="6" t="inlineStr">
        <is>
          <t>n/a</t>
        </is>
      </c>
      <c r="X19" s="6" t="inlineStr">
        <is>
          <t>BLOCKED</t>
        </is>
      </c>
      <c r="Y19" s="6" t="inlineStr">
        <is>
          <t>Lỗi API: HTTP 500: {"detail":"RAG Chat lỗi: Gemini API đã vượt quota/rate limit. Chi tiết: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t>
        </is>
      </c>
      <c r="Z19" s="6" t="n"/>
      <c r="AA19" s="6">
        <f>IF(Z19="",X19,Z19)</f>
        <v/>
      </c>
      <c r="AB19" s="6" t="n"/>
      <c r="AC19" s="6" t="n"/>
    </row>
    <row r="20">
      <c r="A20" s="6" t="inlineStr">
        <is>
          <t>LAW_A_019</t>
        </is>
      </c>
      <c r="B20" s="6" t="inlineStr">
        <is>
          <t>Source-awareness</t>
        </is>
      </c>
      <c r="C20" s="6" t="inlineStr">
        <is>
          <t>Nếu hỏi “quy định hiện hành năm 2026 về làm thêm giờ”, RAG có nên chỉ dùng con số trong giáo trình 2005 không?</t>
        </is>
      </c>
      <c r="D20" s="6" t="inlineStr">
        <is>
          <t>Không nên. Giáo trình là nguồn lịch sử/giảng dạy cũ; hệ thống phải nhận diện thời điểm của nguồn và không trình bày quy định trong tài liệu này như pháp luật hiện hành năm 2026 nếu không có nguồn cập nhật.</t>
        </is>
      </c>
      <c r="E20" s="6" t="inlineStr">
        <is>
          <t>Căn cứ: phần “Lưu ý nguồn/tính thời điểm”, trang 1. 
Nội dung được tài liệu xác nhận: Không nên. Giáo trình là nguồn lịch sử/giảng dạy cũ; hệ thống phải nhận diện thời điểm của nguồn và không trình bày quy định trong tài liệu này như pháp luật hiện hành năm 2026 nếu không có nguồn cập nhật.</t>
        </is>
      </c>
      <c r="F20" s="6" t="n">
        <v>1</v>
      </c>
      <c r="G20" s="6" t="inlineStr">
        <is>
          <t>Lưu ý nguồn/tính thời điểm</t>
        </is>
      </c>
      <c r="H20" s="6" t="inlineStr">
        <is>
          <t>nguồn 2005 | lịch sử | không suy diễn hiện hành</t>
        </is>
      </c>
      <c r="I20" s="6" t="inlineStr">
        <is>
          <t>Hard</t>
        </is>
      </c>
      <c r="J20" s="6" t="inlineStr">
        <is>
          <t>Multiple Chunks</t>
        </is>
      </c>
      <c r="K20" s="6" t="inlineStr">
        <is>
          <t>Yes</t>
        </is>
      </c>
      <c r="L20" s="6" t="inlineStr">
        <is>
          <t>Answer with temporal caveat</t>
        </is>
      </c>
      <c r="M20" s="6" t="inlineStr">
        <is>
          <t>Tests temporal grounding.</t>
        </is>
      </c>
      <c r="N20" s="6" t="inlineStr">
        <is>
          <t>giao trinh Luat lao dong CB 2005 (1)</t>
        </is>
      </c>
      <c r="O20" s="6" t="inlineStr">
        <is>
          <t>Dựa trên tài liệu được cung cấp, tôi không tìm thấy thông tin để trả lời câu hỏi này.</t>
        </is>
      </c>
      <c r="P20" s="6" t="inlineStr"/>
      <c r="Q20" s="6" t="inlineStr"/>
      <c r="R20" s="6" t="inlineStr">
        <is>
          <t>(no LLM call: early exit)</t>
        </is>
      </c>
      <c r="S20" s="6" t="n">
        <v>17.8</v>
      </c>
      <c r="T20" s="7" t="n">
        <v>0</v>
      </c>
      <c r="U20" s="7" t="n">
        <v>0</v>
      </c>
      <c r="V20" s="6" t="inlineStr">
        <is>
          <t>No</t>
        </is>
      </c>
      <c r="W20" s="6" t="inlineStr">
        <is>
          <t>No</t>
        </is>
      </c>
      <c r="X20" s="6" t="inlineStr">
        <is>
          <t>FAIL</t>
        </is>
      </c>
      <c r="Y20" s="6" t="inlineStr">
        <is>
          <t>Từ chối trả lời dù câu hỏi có đáp án</t>
        </is>
      </c>
      <c r="Z20" s="6" t="n"/>
      <c r="AA20" s="6">
        <f>IF(Z20="",X20,Z20)</f>
        <v/>
      </c>
      <c r="AB20" s="6" t="n"/>
      <c r="AC20" s="6" t="n"/>
    </row>
    <row r="21">
      <c r="A21" s="6" t="inlineStr">
        <is>
          <t>LAW_A_020</t>
        </is>
      </c>
      <c r="B21" s="6" t="inlineStr">
        <is>
          <t>Synthesis</t>
        </is>
      </c>
      <c r="C21" s="6" t="inlineStr">
        <is>
          <t>Theo giáo trình, vì sao Luật lao động không chỉ điều chỉnh việc “đi làm nhận lương” mà còn bao phủ nhiều quan hệ khác?</t>
        </is>
      </c>
      <c r="D21" s="6" t="inlineStr">
        <is>
          <t>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is>
      </c>
      <c r="E21" s="6" t="inlineStr">
        <is>
          <t>Căn cứ: phần “Bài 1 - Tổng hợp”
Nội dung được tài liệu xác nhận: 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is>
      </c>
      <c r="F21" s="6" t="n"/>
      <c r="G21" s="6" t="inlineStr">
        <is>
          <t>Bài 1 - Tổng hợp</t>
        </is>
      </c>
      <c r="H21" s="6" t="inlineStr">
        <is>
          <t>quan hệ lao động | quan hệ liên quan | ổn định</t>
        </is>
      </c>
      <c r="I21" s="6" t="inlineStr">
        <is>
          <t>Hard</t>
        </is>
      </c>
      <c r="J21" s="6" t="inlineStr">
        <is>
          <t>Multiple Chunks</t>
        </is>
      </c>
      <c r="K21" s="6" t="inlineStr">
        <is>
          <t>Yes</t>
        </is>
      </c>
      <c r="L21" s="6" t="inlineStr">
        <is>
          <t>Answer from document</t>
        </is>
      </c>
      <c r="M21" s="6" t="n"/>
      <c r="N21" s="6" t="inlineStr">
        <is>
          <t>giao trinh Luat lao dong CB 2005 (1)</t>
        </is>
      </c>
      <c r="O21" s="6" t="inlineStr"/>
      <c r="P21" s="6" t="inlineStr"/>
      <c r="Q21" s="6" t="inlineStr"/>
      <c r="R21" s="6" t="inlineStr"/>
      <c r="S21" s="6" t="n"/>
      <c r="T21" s="7" t="n"/>
      <c r="U21" s="7" t="n"/>
      <c r="V21" s="6" t="n"/>
      <c r="W21" s="6" t="inlineStr">
        <is>
          <t>n/a</t>
        </is>
      </c>
      <c r="X21" s="6" t="inlineStr">
        <is>
          <t>BLOCKED</t>
        </is>
      </c>
      <c r="Y21" s="6" t="inlineStr">
        <is>
          <t>Lỗi API: chưa chạy</t>
        </is>
      </c>
      <c r="Z21" s="6" t="n"/>
      <c r="AA21" s="6">
        <f>IF(Z21="",X21,Z21)</f>
        <v/>
      </c>
      <c r="AB21" s="6" t="n"/>
      <c r="AC21" s="6" t="n"/>
    </row>
    <row r="22">
      <c r="A22" s="6" t="inlineStr">
        <is>
          <t>LAW_B_001</t>
        </is>
      </c>
      <c r="B22" s="6" t="inlineStr">
        <is>
          <t>Direct Fact</t>
        </is>
      </c>
      <c r="C22" s="6" t="inlineStr">
        <is>
          <t>Theo sổ tay, hợp đồng lao động có thể được giao kết bằng lời nói trong trường hợp nào?</t>
        </is>
      </c>
      <c r="D22" s="6" t="inlineStr">
        <is>
          <t>Theo tài liệu, giao kết bằng lời nói áp dụng với công việc tạm thời có thời hạn dưới 03 tháng.</t>
        </is>
      </c>
      <c r="E22" s="6" t="inlineStr">
        <is>
          <t>Căn cứ: phần “Phần I - Hợp đồng lao động”, trang 11. 
Nội dung được tài liệu xác nhận: Theo tài liệu, giao kết bằng lời nói áp dụng với công việc tạm thời có thời hạn dưới 03 tháng.</t>
        </is>
      </c>
      <c r="F22" s="6" t="n">
        <v>11</v>
      </c>
      <c r="G22" s="6" t="inlineStr">
        <is>
          <t>Phần I - Hợp đồng lao động</t>
        </is>
      </c>
      <c r="H22" s="6" t="inlineStr">
        <is>
          <t>lời nói | tạm thời | dưới 03 tháng</t>
        </is>
      </c>
      <c r="I22" s="6" t="inlineStr">
        <is>
          <t>Easy</t>
        </is>
      </c>
      <c r="J22" s="6" t="inlineStr">
        <is>
          <t>Single Chunk</t>
        </is>
      </c>
      <c r="K22" s="6" t="inlineStr">
        <is>
          <t>Yes</t>
        </is>
      </c>
      <c r="L22" s="6" t="inlineStr">
        <is>
          <t>Answer from document</t>
        </is>
      </c>
      <c r="M22" s="6" t="n"/>
      <c r="N22" s="6" t="inlineStr">
        <is>
          <t>so-tay-kien-thuc-phap-luat-lao-dong-cdi</t>
        </is>
      </c>
      <c r="O22" s="6" t="inlineStr"/>
      <c r="P22" s="6" t="inlineStr"/>
      <c r="Q22" s="6" t="inlineStr"/>
      <c r="R22" s="6" t="inlineStr"/>
      <c r="S22" s="6" t="n"/>
      <c r="T22" s="7" t="n"/>
      <c r="U22" s="7" t="n"/>
      <c r="V22" s="6" t="n"/>
      <c r="W22" s="6" t="inlineStr">
        <is>
          <t>n/a</t>
        </is>
      </c>
      <c r="X22" s="6" t="inlineStr">
        <is>
          <t>BLOCKED</t>
        </is>
      </c>
      <c r="Y22" s="6" t="inlineStr">
        <is>
          <t>Lỗi API: chưa chạy</t>
        </is>
      </c>
      <c r="Z22" s="6" t="n"/>
      <c r="AA22" s="6">
        <f>IF(Z22="",X22,Z22)</f>
        <v/>
      </c>
      <c r="AB22" s="6" t="n"/>
      <c r="AC22" s="6" t="n"/>
    </row>
    <row r="23">
      <c r="A23" s="6" t="inlineStr">
        <is>
          <t>LAW_B_002</t>
        </is>
      </c>
      <c r="B23" s="6" t="inlineStr">
        <is>
          <t>Concept</t>
        </is>
      </c>
      <c r="C23" s="6" t="inlineStr">
        <is>
          <t>Vì sao sổ tay khuyến nghị nên ký hợp đồng lao động?</t>
        </is>
      </c>
      <c r="D23" s="6" t="inlineStr">
        <is>
          <t>Vì hợp đồng thể hiện thỏa thuận về công việc, lương, điều kiện làm việc, quyền và nghĩa vụ và là căn cứ xem xét khi phát sinh tranh chấp.</t>
        </is>
      </c>
      <c r="E23" s="6" t="inlineStr">
        <is>
          <t>Căn cứ: phần “Phần I - Hợp đồng lao động”
Nội dung được tài liệu xác nhận: Vì hợp đồng thể hiện thỏa thuận về công việc, lương, điều kiện làm việc, quyền và nghĩa vụ và là căn cứ xem xét khi phát sinh tranh chấp.</t>
        </is>
      </c>
      <c r="F23" s="6" t="n"/>
      <c r="G23" s="6" t="inlineStr">
        <is>
          <t>Phần I - Hợp đồng lao động</t>
        </is>
      </c>
      <c r="H23" s="6" t="inlineStr">
        <is>
          <t>thỏa thuận | căn cứ | tranh chấp</t>
        </is>
      </c>
      <c r="I23" s="6" t="inlineStr">
        <is>
          <t>Easy</t>
        </is>
      </c>
      <c r="J23" s="6" t="inlineStr">
        <is>
          <t>Single Chunk</t>
        </is>
      </c>
      <c r="K23" s="6" t="inlineStr">
        <is>
          <t>Yes</t>
        </is>
      </c>
      <c r="L23" s="6" t="inlineStr">
        <is>
          <t>Answer from document</t>
        </is>
      </c>
      <c r="M23" s="6" t="n"/>
      <c r="N23" s="6" t="inlineStr">
        <is>
          <t>so-tay-kien-thuc-phap-luat-lao-dong-cdi</t>
        </is>
      </c>
      <c r="O23" s="6" t="inlineStr"/>
      <c r="P23" s="6" t="inlineStr"/>
      <c r="Q23" s="6" t="inlineStr"/>
      <c r="R23" s="6" t="inlineStr"/>
      <c r="S23" s="6" t="n"/>
      <c r="T23" s="7" t="n"/>
      <c r="U23" s="7" t="n"/>
      <c r="V23" s="6" t="n"/>
      <c r="W23" s="6" t="inlineStr">
        <is>
          <t>n/a</t>
        </is>
      </c>
      <c r="X23" s="6" t="inlineStr">
        <is>
          <t>BLOCKED</t>
        </is>
      </c>
      <c r="Y23" s="6" t="inlineStr">
        <is>
          <t>Lỗi API: chưa chạy</t>
        </is>
      </c>
      <c r="Z23" s="6" t="n"/>
      <c r="AA23" s="6">
        <f>IF(Z23="",X23,Z23)</f>
        <v/>
      </c>
      <c r="AB23" s="6" t="n"/>
      <c r="AC23" s="6" t="n"/>
    </row>
    <row r="24">
      <c r="A24" s="6" t="inlineStr">
        <is>
          <t>LAW_B_003</t>
        </is>
      </c>
      <c r="B24" s="6" t="inlineStr">
        <is>
          <t>Direct Fact</t>
        </is>
      </c>
      <c r="C24" s="6" t="inlineStr">
        <is>
          <t>Sổ tay có đề cập nội dung “khi nào được ký HĐLĐ không xác định thời hạn” ở phần nào?</t>
        </is>
      </c>
      <c r="D24" s="6" t="inlineStr">
        <is>
          <t>Nội dung này nằm trong Phần I - Hợp đồng lao động.</t>
        </is>
      </c>
      <c r="E24" s="6" t="inlineStr">
        <is>
          <t>Căn cứ: phần “Phần I - Hợp đồng lao động”, trang 6. 
Nội dung được tài liệu xác nhận: Nội dung này nằm trong Phần I - Hợp đồng lao động.</t>
        </is>
      </c>
      <c r="F24" s="6" t="n">
        <v>6</v>
      </c>
      <c r="G24" s="6" t="inlineStr">
        <is>
          <t>Phần I - Hợp đồng lao động</t>
        </is>
      </c>
      <c r="H24" s="6" t="inlineStr">
        <is>
          <t>HĐLĐ không xác định thời hạn</t>
        </is>
      </c>
      <c r="I24" s="6" t="inlineStr">
        <is>
          <t>Easy</t>
        </is>
      </c>
      <c r="J24" s="6" t="inlineStr">
        <is>
          <t>Single Chunk</t>
        </is>
      </c>
      <c r="K24" s="6" t="inlineStr">
        <is>
          <t>Yes</t>
        </is>
      </c>
      <c r="L24" s="6" t="inlineStr">
        <is>
          <t>Answer from document</t>
        </is>
      </c>
      <c r="M24" s="6" t="n"/>
      <c r="N24" s="6" t="inlineStr">
        <is>
          <t>so-tay-kien-thuc-phap-luat-lao-dong-cdi</t>
        </is>
      </c>
      <c r="O24" s="6" t="inlineStr"/>
      <c r="P24" s="6" t="inlineStr"/>
      <c r="Q24" s="6" t="inlineStr"/>
      <c r="R24" s="6" t="inlineStr"/>
      <c r="S24" s="6" t="n"/>
      <c r="T24" s="7" t="n"/>
      <c r="U24" s="7" t="n"/>
      <c r="V24" s="6" t="n"/>
      <c r="W24" s="6" t="inlineStr">
        <is>
          <t>n/a</t>
        </is>
      </c>
      <c r="X24" s="6" t="inlineStr">
        <is>
          <t>BLOCKED</t>
        </is>
      </c>
      <c r="Y24" s="6" t="inlineStr">
        <is>
          <t>Lỗi API: chưa chạy</t>
        </is>
      </c>
      <c r="Z24" s="6" t="n"/>
      <c r="AA24" s="6">
        <f>IF(Z24="",X24,Z24)</f>
        <v/>
      </c>
      <c r="AB24" s="6" t="n"/>
      <c r="AC24" s="6" t="n"/>
    </row>
    <row r="25">
      <c r="A25" s="6" t="inlineStr">
        <is>
          <t>LAW_B_004</t>
        </is>
      </c>
      <c r="B25" s="6" t="inlineStr">
        <is>
          <t>Direct Fact</t>
        </is>
      </c>
      <c r="C25" s="6" t="inlineStr">
        <is>
          <t>Sổ tay xếp quy định về thử việc vào nhóm nội dung nào?</t>
        </is>
      </c>
      <c r="D25" s="6" t="inlineStr">
        <is>
          <t>Thuộc Phần I - Hợp đồng lao động.</t>
        </is>
      </c>
      <c r="E25" s="6" t="inlineStr">
        <is>
          <t>Căn cứ: phần “Phần I - Hợp đồng lao động”, trang 6. 
Nội dung được tài liệu xác nhận: Thuộc Phần I - Hợp đồng lao động.</t>
        </is>
      </c>
      <c r="F25" s="6" t="n">
        <v>6</v>
      </c>
      <c r="G25" s="6" t="inlineStr">
        <is>
          <t>Phần I - Hợp đồng lao động</t>
        </is>
      </c>
      <c r="H25" s="6" t="inlineStr">
        <is>
          <t>thử việc | hợp đồng lao động</t>
        </is>
      </c>
      <c r="I25" s="6" t="inlineStr">
        <is>
          <t>Easy</t>
        </is>
      </c>
      <c r="J25" s="6" t="inlineStr">
        <is>
          <t>Single Chunk</t>
        </is>
      </c>
      <c r="K25" s="6" t="inlineStr">
        <is>
          <t>Yes</t>
        </is>
      </c>
      <c r="L25" s="6" t="inlineStr">
        <is>
          <t>Answer from document</t>
        </is>
      </c>
      <c r="M25" s="6" t="n"/>
      <c r="N25" s="6" t="inlineStr">
        <is>
          <t>so-tay-kien-thuc-phap-luat-lao-dong-cdi</t>
        </is>
      </c>
      <c r="O25" s="6" t="inlineStr"/>
      <c r="P25" s="6" t="inlineStr"/>
      <c r="Q25" s="6" t="inlineStr"/>
      <c r="R25" s="6" t="inlineStr"/>
      <c r="S25" s="6" t="n"/>
      <c r="T25" s="7" t="n"/>
      <c r="U25" s="7" t="n"/>
      <c r="V25" s="6" t="n"/>
      <c r="W25" s="6" t="inlineStr">
        <is>
          <t>n/a</t>
        </is>
      </c>
      <c r="X25" s="6" t="inlineStr">
        <is>
          <t>BLOCKED</t>
        </is>
      </c>
      <c r="Y25" s="6" t="inlineStr">
        <is>
          <t>Lỗi API: chưa chạy</t>
        </is>
      </c>
      <c r="Z25" s="6" t="n"/>
      <c r="AA25" s="6">
        <f>IF(Z25="",X25,Z25)</f>
        <v/>
      </c>
      <c r="AB25" s="6" t="n"/>
      <c r="AC25" s="6" t="n"/>
    </row>
    <row r="26">
      <c r="A26" s="6" t="inlineStr">
        <is>
          <t>LAW_B_005</t>
        </is>
      </c>
      <c r="B26" s="6" t="inlineStr">
        <is>
          <t>Direct Fact</t>
        </is>
      </c>
      <c r="C26" s="6" t="inlineStr">
        <is>
          <t>Sổ tay xếp trả tiền lương làm thêm giờ vào phần nào?</t>
        </is>
      </c>
      <c r="D26" s="6" t="inlineStr">
        <is>
          <t>Thuộc Phần II - Tiền lương.</t>
        </is>
      </c>
      <c r="E26" s="6" t="inlineStr">
        <is>
          <t>Căn cứ: phần “Phần II - Tiền lương”, trang 6. 
Nội dung được tài liệu xác nhận: Thuộc Phần II - Tiền lương.</t>
        </is>
      </c>
      <c r="F26" s="6" t="n">
        <v>6</v>
      </c>
      <c r="G26" s="6" t="inlineStr">
        <is>
          <t>Phần II - Tiền lương</t>
        </is>
      </c>
      <c r="H26" s="6" t="inlineStr">
        <is>
          <t>làm thêm giờ | tiền lương</t>
        </is>
      </c>
      <c r="I26" s="6" t="inlineStr">
        <is>
          <t>Easy</t>
        </is>
      </c>
      <c r="J26" s="6" t="inlineStr">
        <is>
          <t>Single Chunk</t>
        </is>
      </c>
      <c r="K26" s="6" t="inlineStr">
        <is>
          <t>Yes</t>
        </is>
      </c>
      <c r="L26" s="6" t="inlineStr">
        <is>
          <t>Answer from document</t>
        </is>
      </c>
      <c r="M26" s="6" t="n"/>
      <c r="N26" s="6" t="inlineStr">
        <is>
          <t>so-tay-kien-thuc-phap-luat-lao-dong-cdi</t>
        </is>
      </c>
      <c r="O26" s="6" t="inlineStr"/>
      <c r="P26" s="6" t="inlineStr"/>
      <c r="Q26" s="6" t="inlineStr"/>
      <c r="R26" s="6" t="inlineStr"/>
      <c r="S26" s="6" t="n"/>
      <c r="T26" s="7" t="n"/>
      <c r="U26" s="7" t="n"/>
      <c r="V26" s="6" t="n"/>
      <c r="W26" s="6" t="inlineStr">
        <is>
          <t>n/a</t>
        </is>
      </c>
      <c r="X26" s="6" t="inlineStr">
        <is>
          <t>BLOCKED</t>
        </is>
      </c>
      <c r="Y26" s="6" t="inlineStr">
        <is>
          <t>Lỗi API: chưa chạy</t>
        </is>
      </c>
      <c r="Z26" s="6" t="n"/>
      <c r="AA26" s="6">
        <f>IF(Z26="",X26,Z26)</f>
        <v/>
      </c>
      <c r="AB26" s="6" t="n"/>
      <c r="AC26" s="6" t="n"/>
    </row>
    <row r="27">
      <c r="A27" s="6" t="inlineStr">
        <is>
          <t>LAW_B_006</t>
        </is>
      </c>
      <c r="B27" s="6" t="inlineStr">
        <is>
          <t>Direct Fact</t>
        </is>
      </c>
      <c r="C27" s="6" t="inlineStr">
        <is>
          <t>Sổ tay xếp nghỉ giữa giờ, nghỉ phép và nghỉ việc riêng vào phần nào?</t>
        </is>
      </c>
      <c r="D27" s="6" t="inlineStr">
        <is>
          <t>Thuộc Phần III - Thời gian làm việc và nghỉ ngơi.</t>
        </is>
      </c>
      <c r="E27" s="6" t="inlineStr">
        <is>
          <t>Căn cứ: phần “Phần III - Thời gian làm việc và nghỉ ngơi”, trang 6. 
Nội dung được tài liệu xác nhận: Thuộc Phần III - Thời gian làm việc và nghỉ ngơi.</t>
        </is>
      </c>
      <c r="F27" s="6" t="n">
        <v>6</v>
      </c>
      <c r="G27" s="6" t="inlineStr">
        <is>
          <t>Phần III - Thời gian làm việc và nghỉ ngơi</t>
        </is>
      </c>
      <c r="H27" s="6" t="inlineStr">
        <is>
          <t>nghỉ giữa giờ | nghỉ phép | nghỉ việc riêng</t>
        </is>
      </c>
      <c r="I27" s="6" t="inlineStr">
        <is>
          <t>Easy</t>
        </is>
      </c>
      <c r="J27" s="6" t="inlineStr">
        <is>
          <t>Single Chunk</t>
        </is>
      </c>
      <c r="K27" s="6" t="inlineStr">
        <is>
          <t>Yes</t>
        </is>
      </c>
      <c r="L27" s="6" t="inlineStr">
        <is>
          <t>Answer from document</t>
        </is>
      </c>
      <c r="M27" s="6" t="n"/>
      <c r="N27" s="6" t="inlineStr">
        <is>
          <t>so-tay-kien-thuc-phap-luat-lao-dong-cdi</t>
        </is>
      </c>
      <c r="O27" s="6" t="inlineStr"/>
      <c r="P27" s="6" t="inlineStr"/>
      <c r="Q27" s="6" t="inlineStr"/>
      <c r="R27" s="6" t="inlineStr"/>
      <c r="S27" s="6" t="n"/>
      <c r="T27" s="7" t="n"/>
      <c r="U27" s="7" t="n"/>
      <c r="V27" s="6" t="n"/>
      <c r="W27" s="6" t="inlineStr">
        <is>
          <t>n/a</t>
        </is>
      </c>
      <c r="X27" s="6" t="inlineStr">
        <is>
          <t>BLOCKED</t>
        </is>
      </c>
      <c r="Y27" s="6" t="inlineStr">
        <is>
          <t>Lỗi API: chưa chạy</t>
        </is>
      </c>
      <c r="Z27" s="6" t="n"/>
      <c r="AA27" s="6">
        <f>IF(Z27="",X27,Z27)</f>
        <v/>
      </c>
      <c r="AB27" s="6" t="n"/>
      <c r="AC27" s="6" t="n"/>
    </row>
    <row r="28">
      <c r="A28" s="6" t="inlineStr">
        <is>
          <t>LAW_B_007</t>
        </is>
      </c>
      <c r="B28" s="6" t="inlineStr">
        <is>
          <t>Direct Fact</t>
        </is>
      </c>
      <c r="C28" s="6" t="inlineStr">
        <is>
          <t>Sổ tay xếp tai nạn lao động và bệnh nghề nghiệp vào phần nào?</t>
        </is>
      </c>
      <c r="D28" s="6" t="inlineStr">
        <is>
          <t>Thuộc Phần IV - An toàn lao động.</t>
        </is>
      </c>
      <c r="E28" s="6" t="inlineStr">
        <is>
          <t>Căn cứ: phần “Phần IV - An toàn lao động”, trang 6. 
Nội dung được tài liệu xác nhận: Thuộc Phần IV - An toàn lao động.</t>
        </is>
      </c>
      <c r="F28" s="6" t="n">
        <v>6</v>
      </c>
      <c r="G28" s="6" t="inlineStr">
        <is>
          <t>Phần IV - An toàn lao động</t>
        </is>
      </c>
      <c r="H28" s="6" t="inlineStr">
        <is>
          <t>an toàn lao động | tai nạn | bệnh nghề nghiệp</t>
        </is>
      </c>
      <c r="I28" s="6" t="inlineStr">
        <is>
          <t>Easy</t>
        </is>
      </c>
      <c r="J28" s="6" t="inlineStr">
        <is>
          <t>Single Chunk</t>
        </is>
      </c>
      <c r="K28" s="6" t="inlineStr">
        <is>
          <t>Yes</t>
        </is>
      </c>
      <c r="L28" s="6" t="inlineStr">
        <is>
          <t>Answer from document</t>
        </is>
      </c>
      <c r="M28" s="6" t="n"/>
      <c r="N28" s="6" t="inlineStr">
        <is>
          <t>so-tay-kien-thuc-phap-luat-lao-dong-cdi</t>
        </is>
      </c>
      <c r="O28" s="6" t="inlineStr"/>
      <c r="P28" s="6" t="inlineStr"/>
      <c r="Q28" s="6" t="inlineStr"/>
      <c r="R28" s="6" t="inlineStr"/>
      <c r="S28" s="6" t="n"/>
      <c r="T28" s="7" t="n"/>
      <c r="U28" s="7" t="n"/>
      <c r="V28" s="6" t="n"/>
      <c r="W28" s="6" t="inlineStr">
        <is>
          <t>n/a</t>
        </is>
      </c>
      <c r="X28" s="6" t="inlineStr">
        <is>
          <t>BLOCKED</t>
        </is>
      </c>
      <c r="Y28" s="6" t="inlineStr">
        <is>
          <t>Lỗi API: chưa chạy</t>
        </is>
      </c>
      <c r="Z28" s="6" t="n"/>
      <c r="AA28" s="6">
        <f>IF(Z28="",X28,Z28)</f>
        <v/>
      </c>
      <c r="AB28" s="6" t="n"/>
      <c r="AC28" s="6" t="n"/>
    </row>
    <row r="29">
      <c r="A29" s="6" t="inlineStr">
        <is>
          <t>LAW_B_008</t>
        </is>
      </c>
      <c r="B29" s="6" t="inlineStr">
        <is>
          <t>Scenario-based</t>
        </is>
      </c>
      <c r="C29" s="6" t="inlineStr">
        <is>
          <t>Một người làm việc tạm thời 2 tháng, hai bên chỉ thỏa thuận miệng về lương và an toàn lao động. Theo tình huống trong sổ tay, có được coi là đã giao kết HĐLĐ không?</t>
        </is>
      </c>
      <c r="D29" s="6" t="inlineStr">
        <is>
          <t>Có. Tài liệu kết luận trường hợp làm tạm thời 2 tháng thuộc trường hợp có thể giao kết bằng lời nói theo quy định mà sổ tay viện dẫn.</t>
        </is>
      </c>
      <c r="E29" s="6" t="inlineStr">
        <is>
          <t>Căn cứ: phần “Phần I - Hợp đồng lao động”
Nội dung được tài liệu xác nhận: Có. Tài liệu kết luận trường hợp làm tạm thời 2 tháng thuộc trường hợp có thể giao kết bằng lời nói theo quy định mà sổ tay viện dẫn.</t>
        </is>
      </c>
      <c r="F29" s="6" t="n"/>
      <c r="G29" s="6" t="inlineStr">
        <is>
          <t>Phần I - Hợp đồng lao động</t>
        </is>
      </c>
      <c r="H29" s="6" t="inlineStr">
        <is>
          <t>2 tháng | lời nói | giao kết HĐLĐ</t>
        </is>
      </c>
      <c r="I29" s="6" t="inlineStr">
        <is>
          <t>Medium</t>
        </is>
      </c>
      <c r="J29" s="6" t="inlineStr">
        <is>
          <t>Single Chunk</t>
        </is>
      </c>
      <c r="K29" s="6" t="inlineStr">
        <is>
          <t>Yes</t>
        </is>
      </c>
      <c r="L29" s="6" t="inlineStr">
        <is>
          <t>Answer from document</t>
        </is>
      </c>
      <c r="M29" s="6" t="n"/>
      <c r="N29" s="6" t="inlineStr">
        <is>
          <t>so-tay-kien-thuc-phap-luat-lao-dong-cdi</t>
        </is>
      </c>
      <c r="O29" s="6" t="inlineStr"/>
      <c r="P29" s="6" t="inlineStr"/>
      <c r="Q29" s="6" t="inlineStr"/>
      <c r="R29" s="6" t="inlineStr"/>
      <c r="S29" s="6" t="n"/>
      <c r="T29" s="7" t="n"/>
      <c r="U29" s="7" t="n"/>
      <c r="V29" s="6" t="n"/>
      <c r="W29" s="6" t="inlineStr">
        <is>
          <t>n/a</t>
        </is>
      </c>
      <c r="X29" s="6" t="inlineStr">
        <is>
          <t>BLOCKED</t>
        </is>
      </c>
      <c r="Y29" s="6" t="inlineStr">
        <is>
          <t>Lỗi API: chưa chạy</t>
        </is>
      </c>
      <c r="Z29" s="6" t="n"/>
      <c r="AA29" s="6">
        <f>IF(Z29="",X29,Z29)</f>
        <v/>
      </c>
      <c r="AB29" s="6" t="n"/>
      <c r="AC29" s="6" t="n"/>
    </row>
    <row r="30">
      <c r="A30" s="6" t="inlineStr">
        <is>
          <t>LAW_B_009</t>
        </is>
      </c>
      <c r="B30" s="6" t="inlineStr">
        <is>
          <t>Concept</t>
        </is>
      </c>
      <c r="C30" s="6" t="inlineStr">
        <is>
          <t>Hợp đồng lao động có ý nghĩa gì khi xảy ra tranh chấp theo sổ tay?</t>
        </is>
      </c>
      <c r="D30" s="6" t="inlineStr">
        <is>
          <t>Là căn cứ thể hiện các thỏa thuận của các bên để xem xét quyền, nghĩa vụ và giải quyết tranh chấp.</t>
        </is>
      </c>
      <c r="E30" s="6" t="inlineStr">
        <is>
          <t>Căn cứ: phần “Phần I - Hợp đồng lao động”
Nội dung được tài liệu xác nhận: Là căn cứ thể hiện các thỏa thuận của các bên để xem xét quyền, nghĩa vụ và giải quyết tranh chấp.</t>
        </is>
      </c>
      <c r="F30" s="6" t="n"/>
      <c r="G30" s="6" t="inlineStr">
        <is>
          <t>Phần I - Hợp đồng lao động</t>
        </is>
      </c>
      <c r="H30" s="6" t="inlineStr">
        <is>
          <t>căn cứ | quyền nghĩa vụ | tranh chấp</t>
        </is>
      </c>
      <c r="I30" s="6" t="inlineStr">
        <is>
          <t>Medium</t>
        </is>
      </c>
      <c r="J30" s="6" t="inlineStr">
        <is>
          <t>Single Chunk</t>
        </is>
      </c>
      <c r="K30" s="6" t="inlineStr">
        <is>
          <t>Yes</t>
        </is>
      </c>
      <c r="L30" s="6" t="inlineStr">
        <is>
          <t>Answer from document</t>
        </is>
      </c>
      <c r="M30" s="6" t="n"/>
      <c r="N30" s="6" t="inlineStr">
        <is>
          <t>so-tay-kien-thuc-phap-luat-lao-dong-cdi</t>
        </is>
      </c>
      <c r="O30" s="6" t="inlineStr"/>
      <c r="P30" s="6" t="inlineStr"/>
      <c r="Q30" s="6" t="inlineStr"/>
      <c r="R30" s="6" t="inlineStr"/>
      <c r="S30" s="6" t="n"/>
      <c r="T30" s="7" t="n"/>
      <c r="U30" s="7" t="n"/>
      <c r="V30" s="6" t="n"/>
      <c r="W30" s="6" t="inlineStr">
        <is>
          <t>n/a</t>
        </is>
      </c>
      <c r="X30" s="6" t="inlineStr">
        <is>
          <t>BLOCKED</t>
        </is>
      </c>
      <c r="Y30" s="6" t="inlineStr">
        <is>
          <t>Lỗi API: chưa chạy</t>
        </is>
      </c>
      <c r="Z30" s="6" t="n"/>
      <c r="AA30" s="6">
        <f>IF(Z30="",X30,Z30)</f>
        <v/>
      </c>
      <c r="AB30" s="6" t="n"/>
      <c r="AC30" s="6" t="n"/>
    </row>
    <row r="31">
      <c r="A31" s="6" t="inlineStr">
        <is>
          <t>LAW_B_010</t>
        </is>
      </c>
      <c r="B31" s="6" t="inlineStr">
        <is>
          <t>Navigation</t>
        </is>
      </c>
      <c r="C31" s="6" t="inlineStr">
        <is>
          <t>Muốn tìm câu trả lời về việc công ty có được giữ văn bằng gốc của NLĐ hay không, cần truy xuất phần nào của sổ tay?</t>
        </is>
      </c>
      <c r="D31" s="6" t="inlineStr">
        <is>
          <t>Phần VIII - Khiếu nại, khiếu kiện về lao động.</t>
        </is>
      </c>
      <c r="E31" s="6" t="inlineStr">
        <is>
          <t>Căn cứ: phần “Phần VIII - Khiếu nại, khiếu kiện”, trang 7. 
Nội dung được tài liệu xác nhận: Phần VIII - Khiếu nại, khiếu kiện về lao động.</t>
        </is>
      </c>
      <c r="F31" s="6" t="n">
        <v>7</v>
      </c>
      <c r="G31" s="6" t="inlineStr">
        <is>
          <t>Phần VIII - Khiếu nại, khiếu kiện</t>
        </is>
      </c>
      <c r="H31" s="6" t="inlineStr">
        <is>
          <t>văn bằng gốc | khiếu nại | khiếu kiện</t>
        </is>
      </c>
      <c r="I31" s="6" t="inlineStr">
        <is>
          <t>Medium</t>
        </is>
      </c>
      <c r="J31" s="6" t="inlineStr">
        <is>
          <t>Single Chunk</t>
        </is>
      </c>
      <c r="K31" s="6" t="inlineStr">
        <is>
          <t>Yes</t>
        </is>
      </c>
      <c r="L31" s="6" t="inlineStr">
        <is>
          <t>Answer from document</t>
        </is>
      </c>
      <c r="M31" s="6" t="n"/>
      <c r="N31" s="6" t="inlineStr">
        <is>
          <t>so-tay-kien-thuc-phap-luat-lao-dong-cdi</t>
        </is>
      </c>
      <c r="O31" s="6" t="inlineStr"/>
      <c r="P31" s="6" t="inlineStr"/>
      <c r="Q31" s="6" t="inlineStr"/>
      <c r="R31" s="6" t="inlineStr"/>
      <c r="S31" s="6" t="n"/>
      <c r="T31" s="7" t="n"/>
      <c r="U31" s="7" t="n"/>
      <c r="V31" s="6" t="n"/>
      <c r="W31" s="6" t="inlineStr">
        <is>
          <t>n/a</t>
        </is>
      </c>
      <c r="X31" s="6" t="inlineStr">
        <is>
          <t>BLOCKED</t>
        </is>
      </c>
      <c r="Y31" s="6" t="inlineStr">
        <is>
          <t>Lỗi API: chưa chạy</t>
        </is>
      </c>
      <c r="Z31" s="6" t="n"/>
      <c r="AA31" s="6">
        <f>IF(Z31="",X31,Z31)</f>
        <v/>
      </c>
      <c r="AB31" s="6" t="n"/>
      <c r="AC31" s="6" t="n"/>
    </row>
    <row r="32">
      <c r="A32" s="6" t="inlineStr">
        <is>
          <t>LAW_B_011</t>
        </is>
      </c>
      <c r="B32" s="6" t="inlineStr">
        <is>
          <t>Navigation</t>
        </is>
      </c>
      <c r="C32" s="6" t="inlineStr">
        <is>
          <t>Muốn tìm quy trình tiến hành đình công và tiền lương trong ngày đình công, cần truy xuất phần nào?</t>
        </is>
      </c>
      <c r="D32" s="6" t="inlineStr">
        <is>
          <t>Phần VII - Đình công.</t>
        </is>
      </c>
      <c r="E32" s="6" t="inlineStr">
        <is>
          <t>Căn cứ: phần “Phần VII - Đình công”, trang 7. 
Nội dung được tài liệu xác nhận: Phần VII - Đình công.</t>
        </is>
      </c>
      <c r="F32" s="6" t="n">
        <v>7</v>
      </c>
      <c r="G32" s="6" t="inlineStr">
        <is>
          <t>Phần VII - Đình công</t>
        </is>
      </c>
      <c r="H32" s="6" t="inlineStr">
        <is>
          <t>đình công | trình tự | tiền lương</t>
        </is>
      </c>
      <c r="I32" s="6" t="inlineStr">
        <is>
          <t>Medium</t>
        </is>
      </c>
      <c r="J32" s="6" t="inlineStr">
        <is>
          <t>Single Chunk</t>
        </is>
      </c>
      <c r="K32" s="6" t="inlineStr">
        <is>
          <t>Yes</t>
        </is>
      </c>
      <c r="L32" s="6" t="inlineStr">
        <is>
          <t>Answer from document</t>
        </is>
      </c>
      <c r="M32" s="6" t="n"/>
      <c r="N32" s="6" t="inlineStr">
        <is>
          <t>so-tay-kien-thuc-phap-luat-lao-dong-cdi</t>
        </is>
      </c>
      <c r="O32" s="6" t="inlineStr"/>
      <c r="P32" s="6" t="inlineStr"/>
      <c r="Q32" s="6" t="inlineStr"/>
      <c r="R32" s="6" t="inlineStr"/>
      <c r="S32" s="6" t="n"/>
      <c r="T32" s="7" t="n"/>
      <c r="U32" s="7" t="n"/>
      <c r="V32" s="6" t="n"/>
      <c r="W32" s="6" t="inlineStr">
        <is>
          <t>n/a</t>
        </is>
      </c>
      <c r="X32" s="6" t="inlineStr">
        <is>
          <t>BLOCKED</t>
        </is>
      </c>
      <c r="Y32" s="6" t="inlineStr">
        <is>
          <t>Lỗi API: chưa chạy</t>
        </is>
      </c>
      <c r="Z32" s="6" t="n"/>
      <c r="AA32" s="6">
        <f>IF(Z32="",X32,Z32)</f>
        <v/>
      </c>
      <c r="AB32" s="6" t="n"/>
      <c r="AC32" s="6" t="n"/>
    </row>
    <row r="33">
      <c r="A33" s="6" t="inlineStr">
        <is>
          <t>LAW_B_012</t>
        </is>
      </c>
      <c r="B33" s="6" t="inlineStr">
        <is>
          <t>Navigation</t>
        </is>
      </c>
      <c r="C33" s="6" t="inlineStr">
        <is>
          <t>Câu hỏi về quyền lợi của phụ nữ mang thai và chế độ nghỉ thai sản nằm ở phần nào?</t>
        </is>
      </c>
      <c r="D33" s="6" t="inlineStr">
        <is>
          <t>Phần VI - Chế độ đối với lao động nữ.</t>
        </is>
      </c>
      <c r="E33" s="6" t="inlineStr">
        <is>
          <t>Căn cứ: phần “Phần VI - Lao động nữ”, trang 7. 
Nội dung được tài liệu xác nhận: Phần VI - Chế độ đối với lao động nữ.</t>
        </is>
      </c>
      <c r="F33" s="6" t="n">
        <v>7</v>
      </c>
      <c r="G33" s="6" t="inlineStr">
        <is>
          <t>Phần VI - Lao động nữ</t>
        </is>
      </c>
      <c r="H33" s="6" t="inlineStr">
        <is>
          <t>mang thai | thai sản | lao động nữ</t>
        </is>
      </c>
      <c r="I33" s="6" t="inlineStr">
        <is>
          <t>Medium</t>
        </is>
      </c>
      <c r="J33" s="6" t="inlineStr">
        <is>
          <t>Single Chunk</t>
        </is>
      </c>
      <c r="K33" s="6" t="inlineStr">
        <is>
          <t>Yes</t>
        </is>
      </c>
      <c r="L33" s="6" t="inlineStr">
        <is>
          <t>Answer from document</t>
        </is>
      </c>
      <c r="M33" s="6" t="n"/>
      <c r="N33" s="6" t="inlineStr">
        <is>
          <t>so-tay-kien-thuc-phap-luat-lao-dong-cdi</t>
        </is>
      </c>
      <c r="O33" s="6" t="inlineStr"/>
      <c r="P33" s="6" t="inlineStr"/>
      <c r="Q33" s="6" t="inlineStr"/>
      <c r="R33" s="6" t="inlineStr"/>
      <c r="S33" s="6" t="n"/>
      <c r="T33" s="7" t="n"/>
      <c r="U33" s="7" t="n"/>
      <c r="V33" s="6" t="n"/>
      <c r="W33" s="6" t="inlineStr">
        <is>
          <t>n/a</t>
        </is>
      </c>
      <c r="X33" s="6" t="inlineStr">
        <is>
          <t>BLOCKED</t>
        </is>
      </c>
      <c r="Y33" s="6" t="inlineStr">
        <is>
          <t>Lỗi API: chưa chạy</t>
        </is>
      </c>
      <c r="Z33" s="6" t="n"/>
      <c r="AA33" s="6">
        <f>IF(Z33="",X33,Z33)</f>
        <v/>
      </c>
      <c r="AB33" s="6" t="n"/>
      <c r="AC33" s="6" t="n"/>
    </row>
    <row r="34">
      <c r="A34" s="6" t="inlineStr">
        <is>
          <t>LAW_B_013</t>
        </is>
      </c>
      <c r="B34" s="6" t="inlineStr">
        <is>
          <t>Navigation</t>
        </is>
      </c>
      <c r="C34" s="6" t="inlineStr">
        <is>
          <t>Câu hỏi về sa thải trái pháp luật và trách nhiệm của NSDLĐ khi sa thải trái pháp luật nằm ở đâu?</t>
        </is>
      </c>
      <c r="D34" s="6" t="inlineStr">
        <is>
          <t>Phần V - Kỷ luật lao động.</t>
        </is>
      </c>
      <c r="E34" s="6" t="inlineStr">
        <is>
          <t>Căn cứ: phần “Phần V - Kỷ luật lao động”, trang 7. Nội dung được tài liệu xác nhận: Phần V - Kỷ luật lao động.</t>
        </is>
      </c>
      <c r="F34" s="6" t="n">
        <v>7</v>
      </c>
      <c r="G34" s="6" t="inlineStr">
        <is>
          <t>Phần V - Kỷ luật lao động</t>
        </is>
      </c>
      <c r="H34" s="6" t="inlineStr">
        <is>
          <t>sa thải trái pháp luật | trách nhiệm NSDLĐ</t>
        </is>
      </c>
      <c r="I34" s="6" t="inlineStr">
        <is>
          <t>Medium</t>
        </is>
      </c>
      <c r="J34" s="6" t="inlineStr">
        <is>
          <t>Single Chunk</t>
        </is>
      </c>
      <c r="K34" s="6" t="inlineStr">
        <is>
          <t>Yes</t>
        </is>
      </c>
      <c r="L34" s="6" t="inlineStr">
        <is>
          <t>Answer from document</t>
        </is>
      </c>
      <c r="M34" s="6" t="n"/>
      <c r="N34" s="6" t="inlineStr">
        <is>
          <t>so-tay-kien-thuc-phap-luat-lao-dong-cdi</t>
        </is>
      </c>
      <c r="O34" s="6" t="inlineStr"/>
      <c r="P34" s="6" t="inlineStr"/>
      <c r="Q34" s="6" t="inlineStr"/>
      <c r="R34" s="6" t="inlineStr"/>
      <c r="S34" s="6" t="n"/>
      <c r="T34" s="7" t="n"/>
      <c r="U34" s="7" t="n"/>
      <c r="V34" s="6" t="n"/>
      <c r="W34" s="6" t="inlineStr">
        <is>
          <t>n/a</t>
        </is>
      </c>
      <c r="X34" s="6" t="inlineStr">
        <is>
          <t>BLOCKED</t>
        </is>
      </c>
      <c r="Y34" s="6" t="inlineStr">
        <is>
          <t>Lỗi API: chưa chạy</t>
        </is>
      </c>
      <c r="Z34" s="6" t="n"/>
      <c r="AA34" s="6">
        <f>IF(Z34="",X34,Z34)</f>
        <v/>
      </c>
      <c r="AB34" s="6" t="n"/>
      <c r="AC34" s="6" t="n"/>
    </row>
    <row r="35">
      <c r="A35" s="6" t="inlineStr">
        <is>
          <t>LAW_B_014</t>
        </is>
      </c>
      <c r="B35" s="6" t="inlineStr">
        <is>
          <t>Navigation</t>
        </is>
      </c>
      <c r="C35" s="6" t="inlineStr">
        <is>
          <t>Nếu NLĐ làm mất tài sản của doanh nghiệp, sổ tay định hướng tra cứu nội dung nào?</t>
        </is>
      </c>
      <c r="D35" s="6" t="inlineStr">
        <is>
          <t>Tra cứu câu hỏi “Bồi thường thiệt hại do làm mất tài sản?” trong Phần V - Kỷ luật lao động.</t>
        </is>
      </c>
      <c r="E35" s="6" t="inlineStr">
        <is>
          <t>Căn cứ: phần “Phần V - Kỷ luật lao động”, trang 7. Nội dung được tài liệu xác nhận: Tra cứu câu hỏi “Bồi thường thiệt hại do làm mất tài sản?” trong Phần V - Kỷ luật lao động.</t>
        </is>
      </c>
      <c r="F35" s="6" t="n">
        <v>7</v>
      </c>
      <c r="G35" s="6" t="inlineStr">
        <is>
          <t>Phần V - Kỷ luật lao động</t>
        </is>
      </c>
      <c r="H35" s="6" t="inlineStr">
        <is>
          <t>bồi thường | mất tài sản | kỷ luật</t>
        </is>
      </c>
      <c r="I35" s="6" t="inlineStr">
        <is>
          <t>Medium</t>
        </is>
      </c>
      <c r="J35" s="6" t="inlineStr">
        <is>
          <t>Single Chunk</t>
        </is>
      </c>
      <c r="K35" s="6" t="inlineStr">
        <is>
          <t>Yes</t>
        </is>
      </c>
      <c r="L35" s="6" t="inlineStr">
        <is>
          <t>Answer from document</t>
        </is>
      </c>
      <c r="M35" s="6" t="n"/>
      <c r="N35" s="6" t="inlineStr">
        <is>
          <t>so-tay-kien-thuc-phap-luat-lao-dong-cdi</t>
        </is>
      </c>
      <c r="O35" s="6" t="inlineStr"/>
      <c r="P35" s="6" t="inlineStr"/>
      <c r="Q35" s="6" t="inlineStr"/>
      <c r="R35" s="6" t="inlineStr"/>
      <c r="S35" s="6" t="n"/>
      <c r="T35" s="7" t="n"/>
      <c r="U35" s="7" t="n"/>
      <c r="V35" s="6" t="n"/>
      <c r="W35" s="6" t="inlineStr">
        <is>
          <t>n/a</t>
        </is>
      </c>
      <c r="X35" s="6" t="inlineStr">
        <is>
          <t>BLOCKED</t>
        </is>
      </c>
      <c r="Y35" s="6" t="inlineStr">
        <is>
          <t>Lỗi API: chưa chạy</t>
        </is>
      </c>
      <c r="Z35" s="6" t="n"/>
      <c r="AA35" s="6">
        <f>IF(Z35="",X35,Z35)</f>
        <v/>
      </c>
      <c r="AB35" s="6" t="n"/>
      <c r="AC35" s="6" t="n"/>
    </row>
    <row r="36">
      <c r="A36" s="6" t="inlineStr">
        <is>
          <t>LAW_B_015</t>
        </is>
      </c>
      <c r="B36" s="6" t="inlineStr">
        <is>
          <t>Multi-hop</t>
        </is>
      </c>
      <c r="C36" s="6" t="inlineStr">
        <is>
          <t>Một NLĐ vừa hỏi về nghỉ phép vừa hỏi về lương làm thêm giờ. RAG cần lấy tối thiểu từ những phần nào của sổ tay?</t>
        </is>
      </c>
      <c r="D36" s="6" t="inlineStr">
        <is>
          <t>Ít nhất từ Phần II - Tiền lương (lương làm thêm giờ) và Phần III - Thời gian làm việc và nghỉ ngơi (nghỉ phép).</t>
        </is>
      </c>
      <c r="E36" s="6" t="inlineStr">
        <is>
          <t>Căn cứ: phần “Phần II + III”, trang 6. Nội dung được tài liệu xác nhận: Ít nhất từ Phần II - Tiền lương (lương làm thêm giờ) và Phần III - Thời gian làm việc và nghỉ ngơi (nghỉ phép).</t>
        </is>
      </c>
      <c r="F36" s="6" t="n">
        <v>6</v>
      </c>
      <c r="G36" s="6" t="inlineStr">
        <is>
          <t>Phần II + III</t>
        </is>
      </c>
      <c r="H36" s="6" t="inlineStr">
        <is>
          <t>tiền lương | làm thêm | nghỉ phép</t>
        </is>
      </c>
      <c r="I36" s="6" t="inlineStr">
        <is>
          <t>Hard</t>
        </is>
      </c>
      <c r="J36" s="6" t="inlineStr">
        <is>
          <t>Multiple Chunks</t>
        </is>
      </c>
      <c r="K36" s="6" t="inlineStr">
        <is>
          <t>Yes</t>
        </is>
      </c>
      <c r="L36" s="6" t="inlineStr">
        <is>
          <t>Answer from document</t>
        </is>
      </c>
      <c r="M36" s="6" t="n"/>
      <c r="N36" s="6" t="inlineStr">
        <is>
          <t>so-tay-kien-thuc-phap-luat-lao-dong-cdi</t>
        </is>
      </c>
      <c r="O36" s="6" t="inlineStr"/>
      <c r="P36" s="6" t="inlineStr"/>
      <c r="Q36" s="6" t="inlineStr"/>
      <c r="R36" s="6" t="inlineStr"/>
      <c r="S36" s="6" t="n"/>
      <c r="T36" s="7" t="n"/>
      <c r="U36" s="7" t="n"/>
      <c r="V36" s="6" t="n"/>
      <c r="W36" s="6" t="inlineStr">
        <is>
          <t>n/a</t>
        </is>
      </c>
      <c r="X36" s="6" t="inlineStr">
        <is>
          <t>BLOCKED</t>
        </is>
      </c>
      <c r="Y36" s="6" t="inlineStr">
        <is>
          <t>Lỗi API: chưa chạy</t>
        </is>
      </c>
      <c r="Z36" s="6" t="n"/>
      <c r="AA36" s="6">
        <f>IF(Z36="",X36,Z36)</f>
        <v/>
      </c>
      <c r="AB36" s="6" t="n"/>
      <c r="AC36" s="6" t="n"/>
    </row>
    <row r="37">
      <c r="A37" s="6" t="inlineStr">
        <is>
          <t>LAW_B_016</t>
        </is>
      </c>
      <c r="B37" s="6" t="inlineStr">
        <is>
          <t>Multi-hop</t>
        </is>
      </c>
      <c r="C37" s="6" t="inlineStr">
        <is>
          <t>Một vụ việc có tai nạn lao động và sau đó phát sinh khiếu kiện. Để trả lời theo cấu trúc sổ tay, cần kết hợp những phần nào?</t>
        </is>
      </c>
      <c r="D37" s="6" t="inlineStr">
        <is>
          <t>Cần kết hợp Phần IV - An toàn lao động với Phần VIII - Khiếu nại, khiếu kiện về lao động.</t>
        </is>
      </c>
      <c r="E37" s="6" t="inlineStr">
        <is>
          <t>Căn cứ: phần “Phần IV + VIII”, trang 6. Nội dung được tài liệu xác nhận: Cần kết hợp Phần IV - An toàn lao động với Phần VIII - Khiếu nại, khiếu kiện về lao động.</t>
        </is>
      </c>
      <c r="F37" s="6" t="n">
        <v>6</v>
      </c>
      <c r="G37" s="6" t="inlineStr">
        <is>
          <t>Phần IV + VIII</t>
        </is>
      </c>
      <c r="H37" s="6" t="inlineStr">
        <is>
          <t>tai nạn lao động | khiếu nại | khiếu kiện</t>
        </is>
      </c>
      <c r="I37" s="6" t="inlineStr">
        <is>
          <t>Hard</t>
        </is>
      </c>
      <c r="J37" s="6" t="inlineStr">
        <is>
          <t>Multiple Chunks</t>
        </is>
      </c>
      <c r="K37" s="6" t="inlineStr">
        <is>
          <t>Yes</t>
        </is>
      </c>
      <c r="L37" s="6" t="inlineStr">
        <is>
          <t>Answer from document</t>
        </is>
      </c>
      <c r="M37" s="6" t="n"/>
      <c r="N37" s="6" t="inlineStr">
        <is>
          <t>so-tay-kien-thuc-phap-luat-lao-dong-cdi</t>
        </is>
      </c>
      <c r="O37" s="6" t="inlineStr"/>
      <c r="P37" s="6" t="inlineStr"/>
      <c r="Q37" s="6" t="inlineStr"/>
      <c r="R37" s="6" t="inlineStr"/>
      <c r="S37" s="6" t="n"/>
      <c r="T37" s="7" t="n"/>
      <c r="U37" s="7" t="n"/>
      <c r="V37" s="6" t="n"/>
      <c r="W37" s="6" t="inlineStr">
        <is>
          <t>n/a</t>
        </is>
      </c>
      <c r="X37" s="6" t="inlineStr">
        <is>
          <t>BLOCKED</t>
        </is>
      </c>
      <c r="Y37" s="6" t="inlineStr">
        <is>
          <t>Lỗi API: chưa chạy</t>
        </is>
      </c>
      <c r="Z37" s="6" t="n"/>
      <c r="AA37" s="6">
        <f>IF(Z37="",X37,Z37)</f>
        <v/>
      </c>
      <c r="AB37" s="6" t="n"/>
      <c r="AC37" s="6" t="n"/>
    </row>
    <row r="38">
      <c r="A38" s="6" t="inlineStr">
        <is>
          <t>LAW_B_017</t>
        </is>
      </c>
      <c r="B38" s="6" t="inlineStr">
        <is>
          <t>False Premise</t>
        </is>
      </c>
      <c r="C38" s="6" t="inlineStr">
        <is>
          <t>“Mọi hợp đồng lao động đều bắt buộc phải lập thành văn bản” có phù hợp với nội dung sổ tay không?</t>
        </is>
      </c>
      <c r="D38" s="6" t="inlineStr">
        <is>
          <t>Không. Sổ tay nêu hai hình thức là văn bản và lời nói, trong đó lời nói được áp dụng cho công việc tạm thời dưới 03 tháng theo quy định mà tài liệu viện dẫn.</t>
        </is>
      </c>
      <c r="E38" s="6" t="inlineStr">
        <is>
          <t>Căn cứ: phần “Phần I - Hợp đồng lao động”, trang None. Nội dung được tài liệu xác nhận: Không. Sổ tay nêu hai hình thức là văn bản và lời nói, trong đó lời nói được áp dụng cho công việc tạm thời dưới 03 tháng theo quy định mà tài liệu viện dẫn.</t>
        </is>
      </c>
      <c r="F38" s="6" t="n"/>
      <c r="G38" s="6" t="inlineStr">
        <is>
          <t>Phần I - Hợp đồng lao động</t>
        </is>
      </c>
      <c r="H38" s="6" t="inlineStr">
        <is>
          <t>văn bản | lời nói | dưới 03 tháng</t>
        </is>
      </c>
      <c r="I38" s="6" t="inlineStr">
        <is>
          <t>Hard</t>
        </is>
      </c>
      <c r="J38" s="6" t="inlineStr">
        <is>
          <t>Single Chunk</t>
        </is>
      </c>
      <c r="K38" s="6" t="inlineStr">
        <is>
          <t>Yes</t>
        </is>
      </c>
      <c r="L38" s="6" t="inlineStr">
        <is>
          <t>Answer from document</t>
        </is>
      </c>
      <c r="M38" s="6" t="n"/>
      <c r="N38" s="6" t="inlineStr">
        <is>
          <t>so-tay-kien-thuc-phap-luat-lao-dong-cdi</t>
        </is>
      </c>
      <c r="O38" s="6" t="inlineStr"/>
      <c r="P38" s="6" t="inlineStr"/>
      <c r="Q38" s="6" t="inlineStr"/>
      <c r="R38" s="6" t="inlineStr"/>
      <c r="S38" s="6" t="n"/>
      <c r="T38" s="7" t="n"/>
      <c r="U38" s="7" t="n"/>
      <c r="V38" s="6" t="n"/>
      <c r="W38" s="6" t="inlineStr">
        <is>
          <t>n/a</t>
        </is>
      </c>
      <c r="X38" s="6" t="inlineStr">
        <is>
          <t>BLOCKED</t>
        </is>
      </c>
      <c r="Y38" s="6" t="inlineStr">
        <is>
          <t>Lỗi API: chưa chạy</t>
        </is>
      </c>
      <c r="Z38" s="6" t="n"/>
      <c r="AA38" s="6">
        <f>IF(Z38="",X38,Z38)</f>
        <v/>
      </c>
      <c r="AB38" s="6" t="n"/>
      <c r="AC38" s="6" t="n"/>
    </row>
    <row r="39">
      <c r="A39" s="6" t="inlineStr">
        <is>
          <t>LAW_B_018</t>
        </is>
      </c>
      <c r="B39" s="6" t="inlineStr">
        <is>
          <t>Source-awareness</t>
        </is>
      </c>
      <c r="C39" s="6" t="inlineStr">
        <is>
          <t>Nếu người dùng hỏi pháp luật hiện hành 2026, RAG có nên trả lời trực tiếp theo ngưỡng “dưới 03 tháng” của sổ tay không?</t>
        </is>
      </c>
      <c r="D39" s="6" t="inlineStr">
        <is>
          <t>Không nên coi đó là quy định hiện hành chỉ dựa vào sổ tay này. Cần nêu đây là nội dung của tài liệu và ưu tiên/đối chiếu nguồn pháp luật cập nhật hơn nếu câu hỏi yêu cầu hiện hành.</t>
        </is>
      </c>
      <c r="E39" s="6" t="inlineStr">
        <is>
          <t>Căn cứ: phần “Phần I - Hợp đồng lao động”, trang 11. Nội dung được tài liệu xác nhận: Không nên coi đó là quy định hiện hành chỉ dựa vào sổ tay này. Cần nêu đây là nội dung của tài liệu và ưu tiên/đối chiếu nguồn pháp luật cập nhật hơn nếu câu hỏi yêu cầu hiện hành.</t>
        </is>
      </c>
      <c r="F39" s="6" t="n">
        <v>11</v>
      </c>
      <c r="G39" s="6" t="inlineStr">
        <is>
          <t>Phần I - Hợp đồng lao động</t>
        </is>
      </c>
      <c r="H39" s="6" t="inlineStr">
        <is>
          <t>nguồn cũ | thời điểm | quy định hiện hành</t>
        </is>
      </c>
      <c r="I39" s="6" t="inlineStr">
        <is>
          <t>Hard</t>
        </is>
      </c>
      <c r="J39" s="6" t="inlineStr">
        <is>
          <t>Multiple Chunks</t>
        </is>
      </c>
      <c r="K39" s="6" t="inlineStr">
        <is>
          <t>Yes</t>
        </is>
      </c>
      <c r="L39" s="6" t="inlineStr">
        <is>
          <t>Answer with temporal caveat</t>
        </is>
      </c>
      <c r="M39" s="6" t="inlineStr">
        <is>
          <t>Tests outdated-source handling.</t>
        </is>
      </c>
      <c r="N39" s="6" t="inlineStr">
        <is>
          <t>so-tay-kien-thuc-phap-luat-lao-dong-cdi</t>
        </is>
      </c>
      <c r="O39" s="6" t="inlineStr"/>
      <c r="P39" s="6" t="inlineStr"/>
      <c r="Q39" s="6" t="inlineStr"/>
      <c r="R39" s="6" t="inlineStr"/>
      <c r="S39" s="6" t="n"/>
      <c r="T39" s="7" t="n"/>
      <c r="U39" s="7" t="n"/>
      <c r="V39" s="6" t="n"/>
      <c r="W39" s="6" t="inlineStr">
        <is>
          <t>n/a</t>
        </is>
      </c>
      <c r="X39" s="6" t="inlineStr">
        <is>
          <t>BLOCKED</t>
        </is>
      </c>
      <c r="Y39" s="6" t="inlineStr">
        <is>
          <t>Lỗi API: chưa chạy</t>
        </is>
      </c>
      <c r="Z39" s="6" t="n"/>
      <c r="AA39" s="6">
        <f>IF(Z39="",X39,Z39)</f>
        <v/>
      </c>
      <c r="AB39" s="6" t="n"/>
      <c r="AC39" s="6" t="n"/>
    </row>
    <row r="40">
      <c r="A40" s="6" t="inlineStr">
        <is>
          <t>LAW_B_019</t>
        </is>
      </c>
      <c r="B40" s="6" t="inlineStr">
        <is>
          <t>Synthesis</t>
        </is>
      </c>
      <c r="C40" s="6" t="inlineStr">
        <is>
          <t>Sổ tay được thiết kế theo hình thức nào và điều đó có ý nghĩa gì cho RAG?</t>
        </is>
      </c>
      <c r="D40" s="6" t="inlineStr">
        <is>
          <t>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is>
      </c>
      <c r="E40" s="6" t="inlineStr">
        <is>
          <t>Căn cứ: phần “Giới thiệu”, trang 5. Nội dung được tài liệu xác nhận: 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is>
      </c>
      <c r="F40" s="6" t="n">
        <v>5</v>
      </c>
      <c r="G40" s="6" t="inlineStr">
        <is>
          <t>Giới thiệu</t>
        </is>
      </c>
      <c r="H40" s="6" t="inlineStr">
        <is>
          <t>Hỏi-Đáp | tình huống thực tế | ngắn gọn</t>
        </is>
      </c>
      <c r="I40" s="6" t="inlineStr">
        <is>
          <t>Hard</t>
        </is>
      </c>
      <c r="J40" s="6" t="inlineStr">
        <is>
          <t>Single Chunk</t>
        </is>
      </c>
      <c r="K40" s="6" t="inlineStr">
        <is>
          <t>Yes</t>
        </is>
      </c>
      <c r="L40" s="6" t="inlineStr">
        <is>
          <t>Answer from document</t>
        </is>
      </c>
      <c r="M40" s="6" t="n"/>
      <c r="N40" s="6" t="inlineStr">
        <is>
          <t>so-tay-kien-thuc-phap-luat-lao-dong-cdi</t>
        </is>
      </c>
      <c r="O40" s="6" t="inlineStr"/>
      <c r="P40" s="6" t="inlineStr"/>
      <c r="Q40" s="6" t="inlineStr"/>
      <c r="R40" s="6" t="inlineStr"/>
      <c r="S40" s="6" t="n"/>
      <c r="T40" s="7" t="n"/>
      <c r="U40" s="7" t="n"/>
      <c r="V40" s="6" t="n"/>
      <c r="W40" s="6" t="inlineStr">
        <is>
          <t>n/a</t>
        </is>
      </c>
      <c r="X40" s="6" t="inlineStr">
        <is>
          <t>BLOCKED</t>
        </is>
      </c>
      <c r="Y40" s="6" t="inlineStr">
        <is>
          <t>Lỗi API: chưa chạy</t>
        </is>
      </c>
      <c r="Z40" s="6" t="n"/>
      <c r="AA40" s="6">
        <f>IF(Z40="",X40,Z40)</f>
        <v/>
      </c>
      <c r="AB40" s="6" t="n"/>
      <c r="AC40" s="6" t="n"/>
    </row>
    <row r="41">
      <c r="A41" s="6" t="inlineStr">
        <is>
          <t>LAW_B_020</t>
        </is>
      </c>
      <c r="B41" s="6" t="inlineStr">
        <is>
          <t>Synthesis</t>
        </is>
      </c>
      <c r="C41" s="6" t="inlineStr">
        <is>
          <t>Một chatbot nhận câu hỏi “bị sa thải khi đang mang thai thì quyền lợi thế nào?”. Theo mục lục sổ tay, retrieval nên mở rộng sang những nhóm nội dung nào?</t>
        </is>
      </c>
      <c r="D41" s="6" t="inlineStr">
        <is>
          <t>Nên truy xuất ít nhất Phần V - Kỷ luật lao động và Phần VI - Chế độ đối với lao động nữ; tùy câu hỏi về khiếu kiện có thể cần thêm Phần VIII.</t>
        </is>
      </c>
      <c r="E41" s="6" t="inlineStr">
        <is>
          <t>Căn cứ: phần “Phần V + VI (+ VIII)”, trang 7. Nội dung được tài liệu xác nhận: Nên truy xuất ít nhất Phần V - Kỷ luật lao động và Phần VI - Chế độ đối với lao động nữ; tùy câu hỏi về khiếu kiện có thể cần thêm Phần VIII.</t>
        </is>
      </c>
      <c r="F41" s="6" t="n">
        <v>7</v>
      </c>
      <c r="G41" s="6" t="inlineStr">
        <is>
          <t>Phần V + VI (+ VIII)</t>
        </is>
      </c>
      <c r="H41" s="6" t="inlineStr">
        <is>
          <t>sa thải | mang thai | lao động nữ | khiếu kiện</t>
        </is>
      </c>
      <c r="I41" s="6" t="inlineStr">
        <is>
          <t>Hard</t>
        </is>
      </c>
      <c r="J41" s="6" t="inlineStr">
        <is>
          <t>Multiple Chunks</t>
        </is>
      </c>
      <c r="K41" s="6" t="inlineStr">
        <is>
          <t>Yes</t>
        </is>
      </c>
      <c r="L41" s="6" t="inlineStr">
        <is>
          <t>Answer from document</t>
        </is>
      </c>
      <c r="M41" s="6" t="n"/>
      <c r="N41" s="6" t="inlineStr">
        <is>
          <t>so-tay-kien-thuc-phap-luat-lao-dong-cdi</t>
        </is>
      </c>
      <c r="O41" s="6" t="inlineStr"/>
      <c r="P41" s="6" t="inlineStr"/>
      <c r="Q41" s="6" t="inlineStr"/>
      <c r="R41" s="6" t="inlineStr"/>
      <c r="S41" s="6" t="n"/>
      <c r="T41" s="7" t="n"/>
      <c r="U41" s="7" t="n"/>
      <c r="V41" s="6" t="n"/>
      <c r="W41" s="6" t="inlineStr">
        <is>
          <t>n/a</t>
        </is>
      </c>
      <c r="X41" s="6" t="inlineStr">
        <is>
          <t>BLOCKED</t>
        </is>
      </c>
      <c r="Y41" s="6" t="inlineStr">
        <is>
          <t>Lỗi API: chưa chạy</t>
        </is>
      </c>
      <c r="Z41" s="6" t="n"/>
      <c r="AA41" s="6">
        <f>IF(Z41="",X41,Z41)</f>
        <v/>
      </c>
      <c r="AB41" s="6" t="n"/>
      <c r="AC41" s="6" t="n"/>
    </row>
    <row r="42">
      <c r="A42" s="6" t="inlineStr">
        <is>
          <t>LAW_C_001</t>
        </is>
      </c>
      <c r="B42" s="6" t="inlineStr">
        <is>
          <t>Direct Fact</t>
        </is>
      </c>
      <c r="C42" s="6" t="inlineStr">
        <is>
          <t>Bộ tổng hợp văn bản được cập nhật đến thời điểm nào?</t>
        </is>
      </c>
      <c r="D42" s="6" t="inlineStr">
        <is>
          <t>Được cập nhật đến hết tháng 3/2020.</t>
        </is>
      </c>
      <c r="E42" s="6" t="inlineStr">
        <is>
          <t>Căn cứ: phần “Bìa”, trang 1. Nội dung được tài liệu xác nhận: Được cập nhật đến hết tháng 3/2020.</t>
        </is>
      </c>
      <c r="F42" s="6" t="n">
        <v>1</v>
      </c>
      <c r="G42" s="6" t="inlineStr">
        <is>
          <t>Bìa</t>
        </is>
      </c>
      <c r="H42" s="6" t="inlineStr">
        <is>
          <t>03/2020 | cập nhật</t>
        </is>
      </c>
      <c r="I42" s="6" t="inlineStr">
        <is>
          <t>Easy</t>
        </is>
      </c>
      <c r="J42" s="6" t="inlineStr">
        <is>
          <t>Single Chunk</t>
        </is>
      </c>
      <c r="K42" s="6" t="inlineStr">
        <is>
          <t>Yes</t>
        </is>
      </c>
      <c r="L42" s="6" t="inlineStr">
        <is>
          <t>Answer from document</t>
        </is>
      </c>
      <c r="M42" s="6" t="n"/>
      <c r="N42" s="6" t="inlineStr">
        <is>
          <t>luu-ban-nhap-tu-dong-3-4</t>
        </is>
      </c>
      <c r="O42" s="6" t="inlineStr"/>
      <c r="P42" s="6" t="inlineStr"/>
      <c r="Q42" s="6" t="inlineStr"/>
      <c r="R42" s="6" t="inlineStr"/>
      <c r="S42" s="6" t="n"/>
      <c r="T42" s="7" t="n"/>
      <c r="U42" s="7" t="n"/>
      <c r="V42" s="6" t="n"/>
      <c r="W42" s="6" t="inlineStr">
        <is>
          <t>n/a</t>
        </is>
      </c>
      <c r="X42" s="6" t="inlineStr">
        <is>
          <t>BLOCKED</t>
        </is>
      </c>
      <c r="Y42" s="6" t="inlineStr">
        <is>
          <t>Lỗi API: chưa chạy</t>
        </is>
      </c>
      <c r="Z42" s="6" t="n"/>
      <c r="AA42" s="6">
        <f>IF(Z42="",X42,Z42)</f>
        <v/>
      </c>
      <c r="AB42" s="6" t="n"/>
      <c r="AC42" s="6" t="n"/>
    </row>
    <row r="43">
      <c r="A43" s="6" t="inlineStr">
        <is>
          <t>LAW_C_002</t>
        </is>
      </c>
      <c r="B43" s="6" t="inlineStr">
        <is>
          <t>Direct Fact</t>
        </is>
      </c>
      <c r="C43" s="6" t="inlineStr">
        <is>
          <t>Văn bản đầu tiên trong mục lục của bộ tổng hợp là văn bản nào?</t>
        </is>
      </c>
      <c r="D43" s="6" t="inlineStr">
        <is>
          <t>Bộ luật Lao động số 45/2019/QH14 ngày 20/11/2019.</t>
        </is>
      </c>
      <c r="E43" s="6" t="inlineStr">
        <is>
          <t>Căn cứ: phần “Mục lục”, trang 2. Nội dung được tài liệu xác nhận: Bộ luật Lao động số 45/2019/QH14 ngày 20/11/2019.</t>
        </is>
      </c>
      <c r="F43" s="6" t="n">
        <v>2</v>
      </c>
      <c r="G43" s="6" t="inlineStr">
        <is>
          <t>Mục lục</t>
        </is>
      </c>
      <c r="H43" s="6" t="inlineStr">
        <is>
          <t>45/2019/QH14 | 20/11/2019</t>
        </is>
      </c>
      <c r="I43" s="6" t="inlineStr">
        <is>
          <t>Easy</t>
        </is>
      </c>
      <c r="J43" s="6" t="inlineStr">
        <is>
          <t>Single Chunk</t>
        </is>
      </c>
      <c r="K43" s="6" t="inlineStr">
        <is>
          <t>Yes</t>
        </is>
      </c>
      <c r="L43" s="6" t="inlineStr">
        <is>
          <t>Answer from document</t>
        </is>
      </c>
      <c r="M43" s="6" t="n"/>
      <c r="N43" s="6" t="inlineStr">
        <is>
          <t>luu-ban-nhap-tu-dong-3-4</t>
        </is>
      </c>
      <c r="O43" s="6" t="inlineStr"/>
      <c r="P43" s="6" t="inlineStr"/>
      <c r="Q43" s="6" t="inlineStr"/>
      <c r="R43" s="6" t="inlineStr"/>
      <c r="S43" s="6" t="n"/>
      <c r="T43" s="7" t="n"/>
      <c r="U43" s="7" t="n"/>
      <c r="V43" s="6" t="n"/>
      <c r="W43" s="6" t="inlineStr">
        <is>
          <t>n/a</t>
        </is>
      </c>
      <c r="X43" s="6" t="inlineStr">
        <is>
          <t>BLOCKED</t>
        </is>
      </c>
      <c r="Y43" s="6" t="inlineStr">
        <is>
          <t>Lỗi API: chưa chạy</t>
        </is>
      </c>
      <c r="Z43" s="6" t="n"/>
      <c r="AA43" s="6">
        <f>IF(Z43="",X43,Z43)</f>
        <v/>
      </c>
      <c r="AB43" s="6" t="n"/>
      <c r="AC43" s="6" t="n"/>
    </row>
    <row r="44">
      <c r="A44" s="6" t="inlineStr">
        <is>
          <t>LAW_C_003</t>
        </is>
      </c>
      <c r="B44" s="6" t="inlineStr">
        <is>
          <t>Direct Fact</t>
        </is>
      </c>
      <c r="C44" s="6" t="inlineStr">
        <is>
          <t>Bộ tổng hợp có chứa Luật An toàn, vệ sinh lao động không?</t>
        </is>
      </c>
      <c r="D44" s="6" t="inlineStr">
        <is>
          <t>Có. Mục lục liệt kê Luật An toàn, vệ sinh lao động số 84/2015/QH13.</t>
        </is>
      </c>
      <c r="E44" s="6" t="inlineStr">
        <is>
          <t>Căn cứ: phần “Mục lục”, trang 2. Nội dung được tài liệu xác nhận: Có. Mục lục liệt kê Luật An toàn, vệ sinh lao động số 84/2015/QH13.</t>
        </is>
      </c>
      <c r="F44" s="6" t="n">
        <v>2</v>
      </c>
      <c r="G44" s="6" t="inlineStr">
        <is>
          <t>Mục lục</t>
        </is>
      </c>
      <c r="H44" s="6" t="inlineStr">
        <is>
          <t>84/2015/QH13 | an toàn vệ sinh lao động</t>
        </is>
      </c>
      <c r="I44" s="6" t="inlineStr">
        <is>
          <t>Easy</t>
        </is>
      </c>
      <c r="J44" s="6" t="inlineStr">
        <is>
          <t>Single Chunk</t>
        </is>
      </c>
      <c r="K44" s="6" t="inlineStr">
        <is>
          <t>Yes</t>
        </is>
      </c>
      <c r="L44" s="6" t="inlineStr">
        <is>
          <t>Answer from document</t>
        </is>
      </c>
      <c r="M44" s="6" t="n"/>
      <c r="N44" s="6" t="inlineStr">
        <is>
          <t>luu-ban-nhap-tu-dong-3-4</t>
        </is>
      </c>
      <c r="O44" s="6" t="inlineStr"/>
      <c r="P44" s="6" t="inlineStr"/>
      <c r="Q44" s="6" t="inlineStr"/>
      <c r="R44" s="6" t="inlineStr"/>
      <c r="S44" s="6" t="n"/>
      <c r="T44" s="7" t="n"/>
      <c r="U44" s="7" t="n"/>
      <c r="V44" s="6" t="n"/>
      <c r="W44" s="6" t="inlineStr">
        <is>
          <t>n/a</t>
        </is>
      </c>
      <c r="X44" s="6" t="inlineStr">
        <is>
          <t>BLOCKED</t>
        </is>
      </c>
      <c r="Y44" s="6" t="inlineStr">
        <is>
          <t>Lỗi API: chưa chạy</t>
        </is>
      </c>
      <c r="Z44" s="6" t="n"/>
      <c r="AA44" s="6">
        <f>IF(Z44="",X44,Z44)</f>
        <v/>
      </c>
      <c r="AB44" s="6" t="n"/>
      <c r="AC44" s="6" t="n"/>
    </row>
    <row r="45">
      <c r="A45" s="6" t="inlineStr">
        <is>
          <t>LAW_C_004</t>
        </is>
      </c>
      <c r="B45" s="6" t="inlineStr">
        <is>
          <t>Direct Fact</t>
        </is>
      </c>
      <c r="C45" s="6" t="inlineStr">
        <is>
          <t>Bộ tổng hợp có chứa Luật Việc làm không?</t>
        </is>
      </c>
      <c r="D45" s="6" t="inlineStr">
        <is>
          <t>Có. Mục lục liệt kê Luật Việc làm số 38/2013/QH13.</t>
        </is>
      </c>
      <c r="E45" s="6" t="inlineStr">
        <is>
          <t>Căn cứ: phần “Mục lục”, trang 2. Nội dung được tài liệu xác nhận: Có. Mục lục liệt kê Luật Việc làm số 38/2013/QH13.</t>
        </is>
      </c>
      <c r="F45" s="6" t="n">
        <v>2</v>
      </c>
      <c r="G45" s="6" t="inlineStr">
        <is>
          <t>Mục lục</t>
        </is>
      </c>
      <c r="H45" s="6" t="inlineStr">
        <is>
          <t>38/2013/QH13 | Luật việc làm</t>
        </is>
      </c>
      <c r="I45" s="6" t="inlineStr">
        <is>
          <t>Easy</t>
        </is>
      </c>
      <c r="J45" s="6" t="inlineStr">
        <is>
          <t>Single Chunk</t>
        </is>
      </c>
      <c r="K45" s="6" t="inlineStr">
        <is>
          <t>Yes</t>
        </is>
      </c>
      <c r="L45" s="6" t="inlineStr">
        <is>
          <t>Answer from document</t>
        </is>
      </c>
      <c r="M45" s="6" t="n"/>
      <c r="N45" s="6" t="inlineStr">
        <is>
          <t>luu-ban-nhap-tu-dong-3-4</t>
        </is>
      </c>
      <c r="O45" s="6" t="inlineStr"/>
      <c r="P45" s="6" t="inlineStr"/>
      <c r="Q45" s="6" t="inlineStr"/>
      <c r="R45" s="6" t="inlineStr"/>
      <c r="S45" s="6" t="n"/>
      <c r="T45" s="7" t="n"/>
      <c r="U45" s="7" t="n"/>
      <c r="V45" s="6" t="n"/>
      <c r="W45" s="6" t="inlineStr">
        <is>
          <t>n/a</t>
        </is>
      </c>
      <c r="X45" s="6" t="inlineStr">
        <is>
          <t>BLOCKED</t>
        </is>
      </c>
      <c r="Y45" s="6" t="inlineStr">
        <is>
          <t>Lỗi API: chưa chạy</t>
        </is>
      </c>
      <c r="Z45" s="6" t="n"/>
      <c r="AA45" s="6">
        <f>IF(Z45="",X45,Z45)</f>
        <v/>
      </c>
      <c r="AB45" s="6" t="n"/>
      <c r="AC45" s="6" t="n"/>
    </row>
    <row r="46">
      <c r="A46" s="6" t="inlineStr">
        <is>
          <t>LAW_C_005</t>
        </is>
      </c>
      <c r="B46" s="6" t="inlineStr">
        <is>
          <t>Direct Fact</t>
        </is>
      </c>
      <c r="C46" s="6" t="inlineStr">
        <is>
          <t>Bộ tổng hợp có chứa Luật Công đoàn không?</t>
        </is>
      </c>
      <c r="D46" s="6" t="inlineStr">
        <is>
          <t>Có. Mục lục liệt kê Luật Công đoàn số 12/2012/QH13.</t>
        </is>
      </c>
      <c r="E46" s="6" t="inlineStr">
        <is>
          <t>Căn cứ: phần “Mục lục”, trang 2. Nội dung được tài liệu xác nhận: Có. Mục lục liệt kê Luật Công đoàn số 12/2012/QH13.</t>
        </is>
      </c>
      <c r="F46" s="6" t="n">
        <v>2</v>
      </c>
      <c r="G46" s="6" t="inlineStr">
        <is>
          <t>Mục lục</t>
        </is>
      </c>
      <c r="H46" s="6" t="inlineStr">
        <is>
          <t>12/2012/QH13 | công đoàn</t>
        </is>
      </c>
      <c r="I46" s="6" t="inlineStr">
        <is>
          <t>Easy</t>
        </is>
      </c>
      <c r="J46" s="6" t="inlineStr">
        <is>
          <t>Single Chunk</t>
        </is>
      </c>
      <c r="K46" s="6" t="inlineStr">
        <is>
          <t>Yes</t>
        </is>
      </c>
      <c r="L46" s="6" t="inlineStr">
        <is>
          <t>Answer from document</t>
        </is>
      </c>
      <c r="M46" s="6" t="n"/>
      <c r="N46" s="6" t="inlineStr">
        <is>
          <t>luu-ban-nhap-tu-dong-3-4</t>
        </is>
      </c>
      <c r="O46" s="6" t="inlineStr"/>
      <c r="P46" s="6" t="inlineStr"/>
      <c r="Q46" s="6" t="inlineStr"/>
      <c r="R46" s="6" t="inlineStr"/>
      <c r="S46" s="6" t="n"/>
      <c r="T46" s="7" t="n"/>
      <c r="U46" s="7" t="n"/>
      <c r="V46" s="6" t="n"/>
      <c r="W46" s="6" t="inlineStr">
        <is>
          <t>n/a</t>
        </is>
      </c>
      <c r="X46" s="6" t="inlineStr">
        <is>
          <t>BLOCKED</t>
        </is>
      </c>
      <c r="Y46" s="6" t="inlineStr">
        <is>
          <t>Lỗi API: chưa chạy</t>
        </is>
      </c>
      <c r="Z46" s="6" t="n"/>
      <c r="AA46" s="6">
        <f>IF(Z46="",X46,Z46)</f>
        <v/>
      </c>
      <c r="AB46" s="6" t="n"/>
      <c r="AC46" s="6" t="n"/>
    </row>
    <row r="47">
      <c r="A47" s="6" t="inlineStr">
        <is>
          <t>LAW_C_006</t>
        </is>
      </c>
      <c r="B47" s="6" t="inlineStr">
        <is>
          <t>Direct Fact</t>
        </is>
      </c>
      <c r="C47" s="6" t="inlineStr">
        <is>
          <t>Nghị định nào trong mục lục quy định chi tiết về hợp đồng lao động?</t>
        </is>
      </c>
      <c r="D47" s="6" t="inlineStr">
        <is>
          <t>Nghị định số 44/2013/NĐ-CP ngày 10/05/2013.</t>
        </is>
      </c>
      <c r="E47" s="6" t="inlineStr">
        <is>
          <t>Căn cứ: phần “Mục lục”, trang 4. Nội dung được tài liệu xác nhận: Nghị định số 44/2013/NĐ-CP ngày 10/05/2013.</t>
        </is>
      </c>
      <c r="F47" s="6" t="n">
        <v>4</v>
      </c>
      <c r="G47" s="6" t="inlineStr">
        <is>
          <t>Mục lục</t>
        </is>
      </c>
      <c r="H47" s="6" t="inlineStr">
        <is>
          <t>44/2013/NĐ-CP | hợp đồng lao động</t>
        </is>
      </c>
      <c r="I47" s="6" t="inlineStr">
        <is>
          <t>Easy</t>
        </is>
      </c>
      <c r="J47" s="6" t="inlineStr">
        <is>
          <t>Single Chunk</t>
        </is>
      </c>
      <c r="K47" s="6" t="inlineStr">
        <is>
          <t>Yes</t>
        </is>
      </c>
      <c r="L47" s="6" t="inlineStr">
        <is>
          <t>Answer from document</t>
        </is>
      </c>
      <c r="M47" s="6" t="n"/>
      <c r="N47" s="6" t="inlineStr">
        <is>
          <t>luu-ban-nhap-tu-dong-3-4</t>
        </is>
      </c>
      <c r="O47" s="6" t="inlineStr"/>
      <c r="P47" s="6" t="inlineStr"/>
      <c r="Q47" s="6" t="inlineStr"/>
      <c r="R47" s="6" t="inlineStr"/>
      <c r="S47" s="6" t="n"/>
      <c r="T47" s="7" t="n"/>
      <c r="U47" s="7" t="n"/>
      <c r="V47" s="6" t="n"/>
      <c r="W47" s="6" t="inlineStr">
        <is>
          <t>n/a</t>
        </is>
      </c>
      <c r="X47" s="6" t="inlineStr">
        <is>
          <t>BLOCKED</t>
        </is>
      </c>
      <c r="Y47" s="6" t="inlineStr">
        <is>
          <t>Lỗi API: chưa chạy</t>
        </is>
      </c>
      <c r="Z47" s="6" t="n"/>
      <c r="AA47" s="6">
        <f>IF(Z47="",X47,Z47)</f>
        <v/>
      </c>
      <c r="AB47" s="6" t="n"/>
      <c r="AC47" s="6" t="n"/>
    </row>
    <row r="48">
      <c r="A48" s="6" t="inlineStr">
        <is>
          <t>LAW_C_007</t>
        </is>
      </c>
      <c r="B48" s="6" t="inlineStr">
        <is>
          <t>Direct Fact</t>
        </is>
      </c>
      <c r="C48" s="6" t="inlineStr">
        <is>
          <t>Nghị định nào trong mục lục liên quan đến tranh chấp lao động?</t>
        </is>
      </c>
      <c r="D48" s="6" t="inlineStr">
        <is>
          <t>Nghị định số 46/2013/NĐ-CP ngày 10/05/2013.</t>
        </is>
      </c>
      <c r="E48" s="6" t="inlineStr">
        <is>
          <t>Căn cứ: phần “Mục lục”, trang 4. Nội dung được tài liệu xác nhận: Nghị định số 46/2013/NĐ-CP ngày 10/05/2013.</t>
        </is>
      </c>
      <c r="F48" s="6" t="n">
        <v>4</v>
      </c>
      <c r="G48" s="6" t="inlineStr">
        <is>
          <t>Mục lục</t>
        </is>
      </c>
      <c r="H48" s="6" t="inlineStr">
        <is>
          <t>46/2013/NĐ-CP | tranh chấp lao động</t>
        </is>
      </c>
      <c r="I48" s="6" t="inlineStr">
        <is>
          <t>Easy</t>
        </is>
      </c>
      <c r="J48" s="6" t="inlineStr">
        <is>
          <t>Single Chunk</t>
        </is>
      </c>
      <c r="K48" s="6" t="inlineStr">
        <is>
          <t>Yes</t>
        </is>
      </c>
      <c r="L48" s="6" t="inlineStr">
        <is>
          <t>Answer from document</t>
        </is>
      </c>
      <c r="M48" s="6" t="n"/>
      <c r="N48" s="6" t="inlineStr">
        <is>
          <t>luu-ban-nhap-tu-dong-3-4</t>
        </is>
      </c>
      <c r="O48" s="6" t="inlineStr"/>
      <c r="P48" s="6" t="inlineStr"/>
      <c r="Q48" s="6" t="inlineStr"/>
      <c r="R48" s="6" t="inlineStr"/>
      <c r="S48" s="6" t="n"/>
      <c r="T48" s="7" t="n"/>
      <c r="U48" s="7" t="n"/>
      <c r="V48" s="6" t="n"/>
      <c r="W48" s="6" t="inlineStr">
        <is>
          <t>n/a</t>
        </is>
      </c>
      <c r="X48" s="6" t="inlineStr">
        <is>
          <t>BLOCKED</t>
        </is>
      </c>
      <c r="Y48" s="6" t="inlineStr">
        <is>
          <t>Lỗi API: chưa chạy</t>
        </is>
      </c>
      <c r="Z48" s="6" t="n"/>
      <c r="AA48" s="6">
        <f>IF(Z48="",X48,Z48)</f>
        <v/>
      </c>
      <c r="AB48" s="6" t="n"/>
      <c r="AC48" s="6" t="n"/>
    </row>
    <row r="49">
      <c r="A49" s="6" t="inlineStr">
        <is>
          <t>LAW_C_008</t>
        </is>
      </c>
      <c r="B49" s="6" t="inlineStr">
        <is>
          <t>Definition</t>
        </is>
      </c>
      <c r="C49" s="6" t="inlineStr">
        <is>
          <t>BLLĐ 2019 trong bộ tổng hợp định nghĩa cưỡng bức lao động như thế nào?</t>
        </is>
      </c>
      <c r="D49" s="6" t="inlineStr">
        <is>
          <t>Là việc dùng vũ lực, đe dọa dùng vũ lực hoặc thủ đoạn khác để ép buộc NLĐ làm việc trái ý muốn.</t>
        </is>
      </c>
      <c r="E49" s="6" t="inlineStr">
        <is>
          <t>Căn cứ: phần “BLLĐ 2019 - Điều 3”, trang 7. Nội dung được tài liệu xác nhận: Là việc dùng vũ lực, đe dọa dùng vũ lực hoặc thủ đoạn khác để ép buộc NLĐ làm việc trái ý muốn.</t>
        </is>
      </c>
      <c r="F49" s="6" t="n">
        <v>7</v>
      </c>
      <c r="G49" s="6" t="inlineStr">
        <is>
          <t>BLLĐ 2019 - Điều 3</t>
        </is>
      </c>
      <c r="H49" s="6" t="inlineStr">
        <is>
          <t>vũ lực | đe dọa | trái ý muốn</t>
        </is>
      </c>
      <c r="I49" s="6" t="inlineStr">
        <is>
          <t>Medium</t>
        </is>
      </c>
      <c r="J49" s="6" t="inlineStr">
        <is>
          <t>Single Chunk</t>
        </is>
      </c>
      <c r="K49" s="6" t="inlineStr">
        <is>
          <t>Yes</t>
        </is>
      </c>
      <c r="L49" s="6" t="inlineStr">
        <is>
          <t>Answer from document</t>
        </is>
      </c>
      <c r="M49" s="6" t="n"/>
      <c r="N49" s="6" t="inlineStr">
        <is>
          <t>luu-ban-nhap-tu-dong-3-4</t>
        </is>
      </c>
      <c r="O49" s="6" t="inlineStr"/>
      <c r="P49" s="6" t="inlineStr"/>
      <c r="Q49" s="6" t="inlineStr"/>
      <c r="R49" s="6" t="inlineStr"/>
      <c r="S49" s="6" t="n"/>
      <c r="T49" s="7" t="n"/>
      <c r="U49" s="7" t="n"/>
      <c r="V49" s="6" t="n"/>
      <c r="W49" s="6" t="inlineStr">
        <is>
          <t>n/a</t>
        </is>
      </c>
      <c r="X49" s="6" t="inlineStr">
        <is>
          <t>BLOCKED</t>
        </is>
      </c>
      <c r="Y49" s="6" t="inlineStr">
        <is>
          <t>Lỗi API: chưa chạy</t>
        </is>
      </c>
      <c r="Z49" s="6" t="n"/>
      <c r="AA49" s="6">
        <f>IF(Z49="",X49,Z49)</f>
        <v/>
      </c>
      <c r="AB49" s="6" t="n"/>
      <c r="AC49" s="6" t="n"/>
    </row>
    <row r="50">
      <c r="A50" s="6" t="inlineStr">
        <is>
          <t>LAW_C_009</t>
        </is>
      </c>
      <c r="B50" s="6" t="inlineStr">
        <is>
          <t>Definition</t>
        </is>
      </c>
      <c r="C50" s="6" t="inlineStr">
        <is>
          <t>BLLĐ 2019 định nghĩa phân biệt đối xử trong lao động dựa trên những nhóm căn cứ nào?</t>
        </is>
      </c>
      <c r="D50" s="6" t="inlineStr">
        <is>
          <t>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is>
      </c>
      <c r="E50" s="6" t="inlineStr">
        <is>
          <t>Căn cứ: phần “BLLĐ 2019 - Điều 3”, trang 7. Nội dung được tài liệu xác nhận: 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is>
      </c>
      <c r="F50" s="6" t="n">
        <v>7</v>
      </c>
      <c r="G50" s="6" t="inlineStr">
        <is>
          <t>BLLĐ 2019 - Điều 3</t>
        </is>
      </c>
      <c r="H50" s="6" t="inlineStr">
        <is>
          <t>phân biệt đối xử | giới tính | tuổi | thai sản | HIV | công đoàn</t>
        </is>
      </c>
      <c r="I50" s="6" t="inlineStr">
        <is>
          <t>Medium</t>
        </is>
      </c>
      <c r="J50" s="6" t="inlineStr">
        <is>
          <t>Single Chunk</t>
        </is>
      </c>
      <c r="K50" s="6" t="inlineStr">
        <is>
          <t>Yes</t>
        </is>
      </c>
      <c r="L50" s="6" t="inlineStr">
        <is>
          <t>Answer from document</t>
        </is>
      </c>
      <c r="M50" s="6" t="n"/>
      <c r="N50" s="6" t="inlineStr">
        <is>
          <t>luu-ban-nhap-tu-dong-3-4</t>
        </is>
      </c>
      <c r="O50" s="6" t="inlineStr"/>
      <c r="P50" s="6" t="inlineStr"/>
      <c r="Q50" s="6" t="inlineStr"/>
      <c r="R50" s="6" t="inlineStr"/>
      <c r="S50" s="6" t="n"/>
      <c r="T50" s="7" t="n"/>
      <c r="U50" s="7" t="n"/>
      <c r="V50" s="6" t="n"/>
      <c r="W50" s="6" t="inlineStr">
        <is>
          <t>n/a</t>
        </is>
      </c>
      <c r="X50" s="6" t="inlineStr">
        <is>
          <t>BLOCKED</t>
        </is>
      </c>
      <c r="Y50" s="6" t="inlineStr">
        <is>
          <t>Lỗi API: chưa chạy</t>
        </is>
      </c>
      <c r="Z50" s="6" t="n"/>
      <c r="AA50" s="6">
        <f>IF(Z50="",X50,Z50)</f>
        <v/>
      </c>
      <c r="AB50" s="6" t="n"/>
      <c r="AC50" s="6" t="n"/>
    </row>
    <row r="51">
      <c r="A51" s="6" t="inlineStr">
        <is>
          <t>LAW_C_010</t>
        </is>
      </c>
      <c r="B51" s="6" t="inlineStr">
        <is>
          <t>Direct Fact</t>
        </is>
      </c>
      <c r="C51" s="6" t="inlineStr">
        <is>
          <t>Theo BLLĐ 2019 trong bộ tổng hợp, NLĐ có quyền từ chối làm việc trong tình huống nào?</t>
        </is>
      </c>
      <c r="D51" s="6" t="inlineStr">
        <is>
          <t>Khi có nguy cơ rõ ràng đe dọa trực tiếp đến tính mạng, sức khỏe trong quá trình thực hiện công việc.</t>
        </is>
      </c>
      <c r="E51" s="6" t="inlineStr">
        <is>
          <t>Căn cứ: phần “BLLĐ 2019 - Quyền NLĐ”, trang 8. Nội dung được tài liệu xác nhận: Khi có nguy cơ rõ ràng đe dọa trực tiếp đến tính mạng, sức khỏe trong quá trình thực hiện công việc.</t>
        </is>
      </c>
      <c r="F51" s="6" t="n">
        <v>8</v>
      </c>
      <c r="G51" s="6" t="inlineStr">
        <is>
          <t>BLLĐ 2019 - Quyền NLĐ</t>
        </is>
      </c>
      <c r="H51" s="6" t="inlineStr">
        <is>
          <t>từ chối làm việc | nguy cơ rõ ràng | tính mạng | sức khỏe</t>
        </is>
      </c>
      <c r="I51" s="6" t="inlineStr">
        <is>
          <t>Medium</t>
        </is>
      </c>
      <c r="J51" s="6" t="inlineStr">
        <is>
          <t>Single Chunk</t>
        </is>
      </c>
      <c r="K51" s="6" t="inlineStr">
        <is>
          <t>Yes</t>
        </is>
      </c>
      <c r="L51" s="6" t="inlineStr">
        <is>
          <t>Answer from document</t>
        </is>
      </c>
      <c r="M51" s="6" t="n"/>
      <c r="N51" s="6" t="inlineStr">
        <is>
          <t>luu-ban-nhap-tu-dong-3-4</t>
        </is>
      </c>
      <c r="O51" s="6" t="inlineStr"/>
      <c r="P51" s="6" t="inlineStr"/>
      <c r="Q51" s="6" t="inlineStr"/>
      <c r="R51" s="6" t="inlineStr"/>
      <c r="S51" s="6" t="n"/>
      <c r="T51" s="7" t="n"/>
      <c r="U51" s="7" t="n"/>
      <c r="V51" s="6" t="n"/>
      <c r="W51" s="6" t="inlineStr">
        <is>
          <t>n/a</t>
        </is>
      </c>
      <c r="X51" s="6" t="inlineStr">
        <is>
          <t>BLOCKED</t>
        </is>
      </c>
      <c r="Y51" s="6" t="inlineStr">
        <is>
          <t>Lỗi API: chưa chạy</t>
        </is>
      </c>
      <c r="Z51" s="6" t="n"/>
      <c r="AA51" s="6">
        <f>IF(Z51="",X51,Z51)</f>
        <v/>
      </c>
      <c r="AB51" s="6" t="n"/>
      <c r="AC51" s="6" t="n"/>
    </row>
    <row r="52">
      <c r="A52" s="6" t="inlineStr">
        <is>
          <t>LAW_C_011</t>
        </is>
      </c>
      <c r="B52" s="6" t="inlineStr">
        <is>
          <t>Navigation</t>
        </is>
      </c>
      <c r="C52" s="6" t="inlineStr">
        <is>
          <t>Muốn tra quy định về lao động nước ngoài làm việc tại Việt Nam, mục lục gợi ý văn bản hợp nhất nào?</t>
        </is>
      </c>
      <c r="D52" s="6" t="inlineStr">
        <is>
          <t>VBHN số 5325/VBHN-BLĐTBXH ngày 19/12/2018 về Nghị định 11/2016/NĐ-CP, được sửa đổi bởi Nghị định 140/2018/NĐ-CP.</t>
        </is>
      </c>
      <c r="E52" s="6" t="inlineStr">
        <is>
          <t>Căn cứ: phần “Mục lục”, trang 2. Nội dung được tài liệu xác nhận: VBHN số 5325/VBHN-BLĐTBXH ngày 19/12/2018 về Nghị định 11/2016/NĐ-CP, được sửa đổi bởi Nghị định 140/2018/NĐ-CP.</t>
        </is>
      </c>
      <c r="F52" s="6" t="n">
        <v>2</v>
      </c>
      <c r="G52" s="6" t="inlineStr">
        <is>
          <t>Mục lục</t>
        </is>
      </c>
      <c r="H52" s="6" t="inlineStr">
        <is>
          <t>5325/VBHN-BLĐTBXH | lao động nước ngoài</t>
        </is>
      </c>
      <c r="I52" s="6" t="inlineStr">
        <is>
          <t>Medium</t>
        </is>
      </c>
      <c r="J52" s="6" t="inlineStr">
        <is>
          <t>Single Chunk</t>
        </is>
      </c>
      <c r="K52" s="6" t="inlineStr">
        <is>
          <t>Yes</t>
        </is>
      </c>
      <c r="L52" s="6" t="inlineStr">
        <is>
          <t>Answer from document</t>
        </is>
      </c>
      <c r="M52" s="6" t="n"/>
      <c r="N52" s="6" t="inlineStr">
        <is>
          <t>luu-ban-nhap-tu-dong-3-4</t>
        </is>
      </c>
      <c r="O52" s="6" t="inlineStr"/>
      <c r="P52" s="6" t="inlineStr"/>
      <c r="Q52" s="6" t="inlineStr"/>
      <c r="R52" s="6" t="inlineStr"/>
      <c r="S52" s="6" t="n"/>
      <c r="T52" s="7" t="n"/>
      <c r="U52" s="7" t="n"/>
      <c r="V52" s="6" t="n"/>
      <c r="W52" s="6" t="inlineStr">
        <is>
          <t>n/a</t>
        </is>
      </c>
      <c r="X52" s="6" t="inlineStr">
        <is>
          <t>BLOCKED</t>
        </is>
      </c>
      <c r="Y52" s="6" t="inlineStr">
        <is>
          <t>Lỗi API: chưa chạy</t>
        </is>
      </c>
      <c r="Z52" s="6" t="n"/>
      <c r="AA52" s="6">
        <f>IF(Z52="",X52,Z52)</f>
        <v/>
      </c>
      <c r="AB52" s="6" t="n"/>
      <c r="AC52" s="6" t="n"/>
    </row>
    <row r="53">
      <c r="A53" s="6" t="inlineStr">
        <is>
          <t>LAW_C_012</t>
        </is>
      </c>
      <c r="B53" s="6" t="inlineStr">
        <is>
          <t>Navigation</t>
        </is>
      </c>
      <c r="C53" s="6" t="inlineStr">
        <is>
          <t>Muốn tra quy định về tiền lương theo hệ thống văn bản trước BLLĐ 2019, mục lục có văn bản hợp nhất nào?</t>
        </is>
      </c>
      <c r="D53" s="6" t="inlineStr">
        <is>
          <t>VBHN số 4759/VBHN-BLĐTBXH ngày 12/11/2018 hợp nhất Nghị định 49/2013/NĐ-CP và sửa đổi liên quan.</t>
        </is>
      </c>
      <c r="E53" s="6" t="inlineStr">
        <is>
          <t>Căn cứ: phần “Mục lục”, trang 2. Nội dung được tài liệu xác nhận: VBHN số 4759/VBHN-BLĐTBXH ngày 12/11/2018 hợp nhất Nghị định 49/2013/NĐ-CP và sửa đổi liên quan.</t>
        </is>
      </c>
      <c r="F53" s="6" t="n">
        <v>2</v>
      </c>
      <c r="G53" s="6" t="inlineStr">
        <is>
          <t>Mục lục</t>
        </is>
      </c>
      <c r="H53" s="6" t="inlineStr">
        <is>
          <t>4759/VBHN-BLĐTBXH | tiền lương</t>
        </is>
      </c>
      <c r="I53" s="6" t="inlineStr">
        <is>
          <t>Medium</t>
        </is>
      </c>
      <c r="J53" s="6" t="inlineStr">
        <is>
          <t>Single Chunk</t>
        </is>
      </c>
      <c r="K53" s="6" t="inlineStr">
        <is>
          <t>Yes</t>
        </is>
      </c>
      <c r="L53" s="6" t="inlineStr">
        <is>
          <t>Answer from document</t>
        </is>
      </c>
      <c r="M53" s="6" t="n"/>
      <c r="N53" s="6" t="inlineStr">
        <is>
          <t>luu-ban-nhap-tu-dong-3-4</t>
        </is>
      </c>
      <c r="O53" s="6" t="inlineStr"/>
      <c r="P53" s="6" t="inlineStr"/>
      <c r="Q53" s="6" t="inlineStr"/>
      <c r="R53" s="6" t="inlineStr"/>
      <c r="S53" s="6" t="n"/>
      <c r="T53" s="7" t="n"/>
      <c r="U53" s="7" t="n"/>
      <c r="V53" s="6" t="n"/>
      <c r="W53" s="6" t="inlineStr">
        <is>
          <t>n/a</t>
        </is>
      </c>
      <c r="X53" s="6" t="inlineStr">
        <is>
          <t>BLOCKED</t>
        </is>
      </c>
      <c r="Y53" s="6" t="inlineStr">
        <is>
          <t>Lỗi API: chưa chạy</t>
        </is>
      </c>
      <c r="Z53" s="6" t="n"/>
      <c r="AA53" s="6">
        <f>IF(Z53="",X53,Z53)</f>
        <v/>
      </c>
      <c r="AB53" s="6" t="n"/>
      <c r="AC53" s="6" t="n"/>
    </row>
    <row r="54">
      <c r="A54" s="6" t="inlineStr">
        <is>
          <t>LAW_C_013</t>
        </is>
      </c>
      <c r="B54" s="6" t="inlineStr">
        <is>
          <t>Navigation</t>
        </is>
      </c>
      <c r="C54" s="6" t="inlineStr">
        <is>
          <t>Văn bản nào trong mục lục quy định chi tiết về thời giờ làm việc, nghỉ ngơi và an toàn, vệ sinh lao động?</t>
        </is>
      </c>
      <c r="D54" s="6" t="inlineStr">
        <is>
          <t>Nghị định số 45/2013/NĐ-CP ngày 10/05/2013.</t>
        </is>
      </c>
      <c r="E54" s="6" t="inlineStr">
        <is>
          <t>Căn cứ: phần “Mục lục”, trang 4. Nội dung được tài liệu xác nhận: Nghị định số 45/2013/NĐ-CP ngày 10/05/2013.</t>
        </is>
      </c>
      <c r="F54" s="6" t="n">
        <v>4</v>
      </c>
      <c r="G54" s="6" t="inlineStr">
        <is>
          <t>Mục lục</t>
        </is>
      </c>
      <c r="H54" s="6" t="inlineStr">
        <is>
          <t>45/2013/NĐ-CP | thời giờ | nghỉ ngơi | an toàn</t>
        </is>
      </c>
      <c r="I54" s="6" t="inlineStr">
        <is>
          <t>Medium</t>
        </is>
      </c>
      <c r="J54" s="6" t="inlineStr">
        <is>
          <t>Single Chunk</t>
        </is>
      </c>
      <c r="K54" s="6" t="inlineStr">
        <is>
          <t>Yes</t>
        </is>
      </c>
      <c r="L54" s="6" t="inlineStr">
        <is>
          <t>Answer from document</t>
        </is>
      </c>
      <c r="M54" s="6" t="n"/>
      <c r="N54" s="6" t="inlineStr">
        <is>
          <t>luu-ban-nhap-tu-dong-3-4</t>
        </is>
      </c>
      <c r="O54" s="6" t="inlineStr"/>
      <c r="P54" s="6" t="inlineStr"/>
      <c r="Q54" s="6" t="inlineStr"/>
      <c r="R54" s="6" t="inlineStr"/>
      <c r="S54" s="6" t="n"/>
      <c r="T54" s="7" t="n"/>
      <c r="U54" s="7" t="n"/>
      <c r="V54" s="6" t="n"/>
      <c r="W54" s="6" t="inlineStr">
        <is>
          <t>n/a</t>
        </is>
      </c>
      <c r="X54" s="6" t="inlineStr">
        <is>
          <t>BLOCKED</t>
        </is>
      </c>
      <c r="Y54" s="6" t="inlineStr">
        <is>
          <t>Lỗi API: chưa chạy</t>
        </is>
      </c>
      <c r="Z54" s="6" t="n"/>
      <c r="AA54" s="6">
        <f>IF(Z54="",X54,Z54)</f>
        <v/>
      </c>
      <c r="AB54" s="6" t="n"/>
      <c r="AC54" s="6" t="n"/>
    </row>
    <row r="55">
      <c r="A55" s="6" t="inlineStr">
        <is>
          <t>LAW_C_014</t>
        </is>
      </c>
      <c r="B55" s="6" t="inlineStr">
        <is>
          <t>Navigation</t>
        </is>
      </c>
      <c r="C55" s="6" t="inlineStr">
        <is>
          <t>Muốn tra danh mục công việc nhẹ được sử dụng người dưới 15 tuổi, tài liệu liệt kê thông tư nào?</t>
        </is>
      </c>
      <c r="D55" s="6" t="inlineStr">
        <is>
          <t>Thông tư số 11/2013/TT-BLĐTBXH ngày 11/06/2013.</t>
        </is>
      </c>
      <c r="E55" s="6" t="inlineStr">
        <is>
          <t>Căn cứ: phần “Mục lục”, trang 5. Nội dung được tài liệu xác nhận: Thông tư số 11/2013/TT-BLĐTBXH ngày 11/06/2013.</t>
        </is>
      </c>
      <c r="F55" s="6" t="n">
        <v>5</v>
      </c>
      <c r="G55" s="6" t="inlineStr">
        <is>
          <t>Mục lục</t>
        </is>
      </c>
      <c r="H55" s="6" t="inlineStr">
        <is>
          <t>11/2013/TT-BLĐTBXH | dưới 15 tuổi</t>
        </is>
      </c>
      <c r="I55" s="6" t="inlineStr">
        <is>
          <t>Medium</t>
        </is>
      </c>
      <c r="J55" s="6" t="inlineStr">
        <is>
          <t>Single Chunk</t>
        </is>
      </c>
      <c r="K55" s="6" t="inlineStr">
        <is>
          <t>Yes</t>
        </is>
      </c>
      <c r="L55" s="6" t="inlineStr">
        <is>
          <t>Answer from document</t>
        </is>
      </c>
      <c r="M55" s="6" t="n"/>
      <c r="N55" s="6" t="inlineStr">
        <is>
          <t>luu-ban-nhap-tu-dong-3-4</t>
        </is>
      </c>
      <c r="O55" s="6" t="inlineStr"/>
      <c r="P55" s="6" t="inlineStr"/>
      <c r="Q55" s="6" t="inlineStr"/>
      <c r="R55" s="6" t="inlineStr"/>
      <c r="S55" s="6" t="n"/>
      <c r="T55" s="7" t="n"/>
      <c r="U55" s="7" t="n"/>
      <c r="V55" s="6" t="n"/>
      <c r="W55" s="6" t="inlineStr">
        <is>
          <t>n/a</t>
        </is>
      </c>
      <c r="X55" s="6" t="inlineStr">
        <is>
          <t>BLOCKED</t>
        </is>
      </c>
      <c r="Y55" s="6" t="inlineStr">
        <is>
          <t>Lỗi API: chưa chạy</t>
        </is>
      </c>
      <c r="Z55" s="6" t="n"/>
      <c r="AA55" s="6">
        <f>IF(Z55="",X55,Z55)</f>
        <v/>
      </c>
      <c r="AB55" s="6" t="n"/>
      <c r="AC55" s="6" t="n"/>
    </row>
    <row r="56">
      <c r="A56" s="6" t="inlineStr">
        <is>
          <t>LAW_C_015</t>
        </is>
      </c>
      <c r="B56" s="6" t="inlineStr">
        <is>
          <t>Multi-hop</t>
        </is>
      </c>
      <c r="C56" s="6" t="inlineStr">
        <is>
          <t>Một câu hỏi vừa liên quan hợp đồng lao động vừa liên quan an toàn vệ sinh lao động. Bộ tổng hợp có những nhóm nguồn nào để retrieval?</t>
        </is>
      </c>
      <c r="D56" s="6" t="inlineStr">
        <is>
          <t>Có thể truy xuất BLLĐ 2019, Nghị định 44/2013/NĐ-CP về HĐLĐ và Luật An toàn, vệ sinh lao động 84/2015/QH13 cùng các văn bản hướng dẫn liên quan trong bộ tổng hợp.</t>
        </is>
      </c>
      <c r="E56" s="6" t="inlineStr">
        <is>
          <t>Căn cứ: phần “Mục lục - đa văn bản”, trang 2. Nội dung được tài liệu xác nhận: Có thể truy xuất BLLĐ 2019, Nghị định 44/2013/NĐ-CP về HĐLĐ và Luật An toàn, vệ sinh lao động 84/2015/QH13 cùng các văn bản hướng dẫn liên quan trong bộ tổng hợp.</t>
        </is>
      </c>
      <c r="F56" s="6" t="n">
        <v>2</v>
      </c>
      <c r="G56" s="6" t="inlineStr">
        <is>
          <t>Mục lục - đa văn bản</t>
        </is>
      </c>
      <c r="H56" s="6" t="inlineStr">
        <is>
          <t>BLLĐ 2019 | 44/2013 | 84/2015 | đa văn bản</t>
        </is>
      </c>
      <c r="I56" s="6" t="inlineStr">
        <is>
          <t>Hard</t>
        </is>
      </c>
      <c r="J56" s="6" t="inlineStr">
        <is>
          <t>Multiple Chunks</t>
        </is>
      </c>
      <c r="K56" s="6" t="inlineStr">
        <is>
          <t>Yes</t>
        </is>
      </c>
      <c r="L56" s="6" t="inlineStr">
        <is>
          <t>Answer from document</t>
        </is>
      </c>
      <c r="M56" s="6" t="n"/>
      <c r="N56" s="6" t="inlineStr">
        <is>
          <t>luu-ban-nhap-tu-dong-3-4</t>
        </is>
      </c>
      <c r="O56" s="6" t="inlineStr"/>
      <c r="P56" s="6" t="inlineStr"/>
      <c r="Q56" s="6" t="inlineStr"/>
      <c r="R56" s="6" t="inlineStr"/>
      <c r="S56" s="6" t="n"/>
      <c r="T56" s="7" t="n"/>
      <c r="U56" s="7" t="n"/>
      <c r="V56" s="6" t="n"/>
      <c r="W56" s="6" t="inlineStr">
        <is>
          <t>n/a</t>
        </is>
      </c>
      <c r="X56" s="6" t="inlineStr">
        <is>
          <t>BLOCKED</t>
        </is>
      </c>
      <c r="Y56" s="6" t="inlineStr">
        <is>
          <t>Lỗi API: chưa chạy</t>
        </is>
      </c>
      <c r="Z56" s="6" t="n"/>
      <c r="AA56" s="6">
        <f>IF(Z56="",X56,Z56)</f>
        <v/>
      </c>
      <c r="AB56" s="6" t="n"/>
      <c r="AC56" s="6" t="n"/>
    </row>
    <row r="57">
      <c r="A57" s="6" t="inlineStr">
        <is>
          <t>LAW_C_016</t>
        </is>
      </c>
      <c r="B57" s="6" t="inlineStr">
        <is>
          <t>Temporal Reasoning</t>
        </is>
      </c>
      <c r="C57" s="6" t="inlineStr">
        <is>
          <t>Tại sao tiêu đề “ĐANG CÓ HIỆU LỰC” của bộ tổng hợp không đủ để kết luận mọi văn bản trong đó còn hiệu lực vào năm 2026?</t>
        </is>
      </c>
      <c r="D57" s="6" t="inlineStr">
        <is>
          <t>Vì trạng thái đó gắn với thời điểm cập nhật hết tháng 3/2020. Để trả lời cho năm 2026 cần nguồn cập nhật sau thời điểm này.</t>
        </is>
      </c>
      <c r="E57" s="6" t="inlineStr">
        <is>
          <t>Căn cứ: phần “Bìa - thời điểm cập nhật”, trang 1. Nội dung được tài liệu xác nhận: Vì trạng thái đó gắn với thời điểm cập nhật hết tháng 3/2020. Để trả lời cho năm 2026 cần nguồn cập nhật sau thời điểm này.</t>
        </is>
      </c>
      <c r="F57" s="6" t="n">
        <v>1</v>
      </c>
      <c r="G57" s="6" t="inlineStr">
        <is>
          <t>Bìa - thời điểm cập nhật</t>
        </is>
      </c>
      <c r="H57" s="6" t="inlineStr">
        <is>
          <t>03/2020 | hiệu lực | 2026 | cần cập nhật</t>
        </is>
      </c>
      <c r="I57" s="6" t="inlineStr">
        <is>
          <t>Hard</t>
        </is>
      </c>
      <c r="J57" s="6" t="inlineStr">
        <is>
          <t>Single Chunk</t>
        </is>
      </c>
      <c r="K57" s="6" t="inlineStr">
        <is>
          <t>Yes</t>
        </is>
      </c>
      <c r="L57" s="6" t="inlineStr">
        <is>
          <t>Answer from document</t>
        </is>
      </c>
      <c r="M57" s="6" t="n"/>
      <c r="N57" s="6" t="inlineStr">
        <is>
          <t>luu-ban-nhap-tu-dong-3-4</t>
        </is>
      </c>
      <c r="O57" s="6" t="inlineStr"/>
      <c r="P57" s="6" t="inlineStr"/>
      <c r="Q57" s="6" t="inlineStr"/>
      <c r="R57" s="6" t="inlineStr"/>
      <c r="S57" s="6" t="n"/>
      <c r="T57" s="7" t="n"/>
      <c r="U57" s="7" t="n"/>
      <c r="V57" s="6" t="n"/>
      <c r="W57" s="6" t="inlineStr">
        <is>
          <t>n/a</t>
        </is>
      </c>
      <c r="X57" s="6" t="inlineStr">
        <is>
          <t>BLOCKED</t>
        </is>
      </c>
      <c r="Y57" s="6" t="inlineStr">
        <is>
          <t>Lỗi API: chưa chạy</t>
        </is>
      </c>
      <c r="Z57" s="6" t="n"/>
      <c r="AA57" s="6">
        <f>IF(Z57="",X57,Z57)</f>
        <v/>
      </c>
      <c r="AB57" s="6" t="n"/>
      <c r="AC57" s="6" t="n"/>
    </row>
    <row r="58">
      <c r="A58" s="6" t="inlineStr">
        <is>
          <t>LAW_C_017</t>
        </is>
      </c>
      <c r="B58" s="6" t="inlineStr">
        <is>
          <t>False Premise</t>
        </is>
      </c>
      <c r="C58" s="6" t="inlineStr">
        <is>
          <t>“Bộ tổng hợp này chỉ chứa Bộ luật Lao động 2019” có đúng không?</t>
        </is>
      </c>
      <c r="D58" s="6" t="inlineStr">
        <is>
          <t>Không. Mục lục cho thấy tài liệu tổng hợp nhiều luật, nghị định, quyết định và thông tư về lao động, BHXH, việc làm, công đoàn, an toàn vệ sinh lao động và các chủ đề liên quan.</t>
        </is>
      </c>
      <c r="E58" s="6" t="inlineStr">
        <is>
          <t>Căn cứ: phần “Mục lục”, trang 2. Nội dung được tài liệu xác nhận: Không. Mục lục cho thấy tài liệu tổng hợp nhiều luật, nghị định, quyết định và thông tư về lao động, BHXH, việc làm, công đoàn, an toàn vệ sinh lao động và các chủ đề liên quan.</t>
        </is>
      </c>
      <c r="F58" s="6" t="n">
        <v>2</v>
      </c>
      <c r="G58" s="6" t="inlineStr">
        <is>
          <t>Mục lục</t>
        </is>
      </c>
      <c r="H58" s="6" t="inlineStr">
        <is>
          <t>nhiều văn bản | luật | nghị định | thông tư</t>
        </is>
      </c>
      <c r="I58" s="6" t="inlineStr">
        <is>
          <t>Hard</t>
        </is>
      </c>
      <c r="J58" s="6" t="inlineStr">
        <is>
          <t>Multiple Chunks</t>
        </is>
      </c>
      <c r="K58" s="6" t="inlineStr">
        <is>
          <t>Yes</t>
        </is>
      </c>
      <c r="L58" s="6" t="inlineStr">
        <is>
          <t>Answer from document</t>
        </is>
      </c>
      <c r="M58" s="6" t="n"/>
      <c r="N58" s="6" t="inlineStr">
        <is>
          <t>luu-ban-nhap-tu-dong-3-4</t>
        </is>
      </c>
      <c r="O58" s="6" t="inlineStr"/>
      <c r="P58" s="6" t="inlineStr"/>
      <c r="Q58" s="6" t="inlineStr"/>
      <c r="R58" s="6" t="inlineStr"/>
      <c r="S58" s="6" t="n"/>
      <c r="T58" s="7" t="n"/>
      <c r="U58" s="7" t="n"/>
      <c r="V58" s="6" t="n"/>
      <c r="W58" s="6" t="inlineStr">
        <is>
          <t>n/a</t>
        </is>
      </c>
      <c r="X58" s="6" t="inlineStr">
        <is>
          <t>BLOCKED</t>
        </is>
      </c>
      <c r="Y58" s="6" t="inlineStr">
        <is>
          <t>Lỗi API: chưa chạy</t>
        </is>
      </c>
      <c r="Z58" s="6" t="n"/>
      <c r="AA58" s="6">
        <f>IF(Z58="",X58,Z58)</f>
        <v/>
      </c>
      <c r="AB58" s="6" t="n"/>
      <c r="AC58" s="6" t="n"/>
    </row>
    <row r="59">
      <c r="A59" s="6" t="inlineStr">
        <is>
          <t>LAW_C_018</t>
        </is>
      </c>
      <c r="B59" s="6" t="inlineStr">
        <is>
          <t>Source Selection</t>
        </is>
      </c>
      <c r="C59" s="6" t="inlineStr">
        <is>
          <t>Nếu câu hỏi yêu cầu quy định BLLĐ 2019 nguyên gốc tại thời điểm ban hành, bộ tổng hợp có phù hợp không?</t>
        </is>
      </c>
      <c r="D59" s="6" t="inlineStr">
        <is>
          <t>Có thể phù hợp vì tài liệu chứa Bộ luật Lao động 45/2019/QH14. Tuy nhiên cần phân biệt với yêu cầu “hiện hành 2026”, khi đó phải ưu tiên nguồn hợp nhất/cập nhật mới hơn.</t>
        </is>
      </c>
      <c r="E59" s="6" t="inlineStr">
        <is>
          <t>Căn cứ: phần “Mục lục/BLLĐ 2019”, trang 2. Nội dung được tài liệu xác nhận: Có thể phù hợp vì tài liệu chứa Bộ luật Lao động 45/2019/QH14. Tuy nhiên cần phân biệt với yêu cầu “hiện hành 2026”, khi đó phải ưu tiên nguồn hợp nhất/cập nhật mới hơn.</t>
        </is>
      </c>
      <c r="F59" s="6" t="n">
        <v>2</v>
      </c>
      <c r="G59" s="6" t="inlineStr">
        <is>
          <t>Mục lục/BLLĐ 2019</t>
        </is>
      </c>
      <c r="H59" s="6" t="inlineStr">
        <is>
          <t>nguyên gốc 2019 | hiện hành 2026 | nguồn cập nhật</t>
        </is>
      </c>
      <c r="I59" s="6" t="inlineStr">
        <is>
          <t>Hard</t>
        </is>
      </c>
      <c r="J59" s="6" t="inlineStr">
        <is>
          <t>Multiple Chunks</t>
        </is>
      </c>
      <c r="K59" s="6" t="inlineStr">
        <is>
          <t>Yes</t>
        </is>
      </c>
      <c r="L59" s="6" t="inlineStr">
        <is>
          <t>Answer from document</t>
        </is>
      </c>
      <c r="M59" s="6" t="n"/>
      <c r="N59" s="6" t="inlineStr">
        <is>
          <t>luu-ban-nhap-tu-dong-3-4</t>
        </is>
      </c>
      <c r="O59" s="6" t="inlineStr"/>
      <c r="P59" s="6" t="inlineStr"/>
      <c r="Q59" s="6" t="inlineStr"/>
      <c r="R59" s="6" t="inlineStr"/>
      <c r="S59" s="6" t="n"/>
      <c r="T59" s="7" t="n"/>
      <c r="U59" s="7" t="n"/>
      <c r="V59" s="6" t="n"/>
      <c r="W59" s="6" t="inlineStr">
        <is>
          <t>n/a</t>
        </is>
      </c>
      <c r="X59" s="6" t="inlineStr">
        <is>
          <t>BLOCKED</t>
        </is>
      </c>
      <c r="Y59" s="6" t="inlineStr">
        <is>
          <t>Lỗi API: chưa chạy</t>
        </is>
      </c>
      <c r="Z59" s="6" t="n"/>
      <c r="AA59" s="6">
        <f>IF(Z59="",X59,Z59)</f>
        <v/>
      </c>
      <c r="AB59" s="6" t="n"/>
      <c r="AC59" s="6" t="n"/>
    </row>
    <row r="60">
      <c r="A60" s="6" t="inlineStr">
        <is>
          <t>LAW_C_019</t>
        </is>
      </c>
      <c r="B60" s="6" t="inlineStr">
        <is>
          <t>Multi-document</t>
        </is>
      </c>
      <c r="C60" s="6" t="inlineStr">
        <is>
          <t>Một truy vấn về người lao động nước ngoài và BHXH bắt buộc nên mở rộng retrieval đến những văn bản nào trong mục lục?</t>
        </is>
      </c>
      <c r="D60" s="6" t="inlineStr">
        <is>
          <t>Ít nhất đến văn bản về lao động nước ngoài (VBHN 5325/VBHN-BLĐTBXH) và Nghị định 143/2018/NĐ-CP về BHXH bắt buộc đối với NLĐ là công dân nước ngoài làm việc tại Việt Nam.</t>
        </is>
      </c>
      <c r="E60" s="6" t="inlineStr">
        <is>
          <t>Căn cứ: phần “Mục lục - lao động nước ngoài/BHXH”, trang 3. Nội dung được tài liệu xác nhận: Ít nhất đến văn bản về lao động nước ngoài (VBHN 5325/VBHN-BLĐTBXH) và Nghị định 143/2018/NĐ-CP về BHXH bắt buộc đối với NLĐ là công dân nước ngoài làm việc tại Việt Nam.</t>
        </is>
      </c>
      <c r="F60" s="6" t="n">
        <v>3</v>
      </c>
      <c r="G60" s="6" t="inlineStr">
        <is>
          <t>Mục lục - lao động nước ngoài/BHXH</t>
        </is>
      </c>
      <c r="H60" s="6" t="inlineStr">
        <is>
          <t>5325/VBHN | 143/2018 | lao động nước ngoài | BHXH</t>
        </is>
      </c>
      <c r="I60" s="6" t="inlineStr">
        <is>
          <t>Hard</t>
        </is>
      </c>
      <c r="J60" s="6" t="inlineStr">
        <is>
          <t>Multiple Chunks</t>
        </is>
      </c>
      <c r="K60" s="6" t="inlineStr">
        <is>
          <t>Yes</t>
        </is>
      </c>
      <c r="L60" s="6" t="inlineStr">
        <is>
          <t>Answer from document</t>
        </is>
      </c>
      <c r="M60" s="6" t="n"/>
      <c r="N60" s="6" t="inlineStr">
        <is>
          <t>luu-ban-nhap-tu-dong-3-4</t>
        </is>
      </c>
      <c r="O60" s="6" t="inlineStr"/>
      <c r="P60" s="6" t="inlineStr"/>
      <c r="Q60" s="6" t="inlineStr"/>
      <c r="R60" s="6" t="inlineStr"/>
      <c r="S60" s="6" t="n"/>
      <c r="T60" s="7" t="n"/>
      <c r="U60" s="7" t="n"/>
      <c r="V60" s="6" t="n"/>
      <c r="W60" s="6" t="inlineStr">
        <is>
          <t>n/a</t>
        </is>
      </c>
      <c r="X60" s="6" t="inlineStr">
        <is>
          <t>BLOCKED</t>
        </is>
      </c>
      <c r="Y60" s="6" t="inlineStr">
        <is>
          <t>Lỗi API: chưa chạy</t>
        </is>
      </c>
      <c r="Z60" s="6" t="n"/>
      <c r="AA60" s="6">
        <f>IF(Z60="",X60,Z60)</f>
        <v/>
      </c>
      <c r="AB60" s="6" t="n"/>
      <c r="AC60" s="6" t="n"/>
    </row>
    <row r="61">
      <c r="A61" s="6" t="inlineStr">
        <is>
          <t>LAW_C_020</t>
        </is>
      </c>
      <c r="B61" s="6" t="inlineStr">
        <is>
          <t>Multi-document</t>
        </is>
      </c>
      <c r="C61" s="6" t="inlineStr">
        <is>
          <t>Một truy vấn về lao động nữ vừa hỏi công việc bị cấm vừa hỏi chính sách bảo vệ nên retrieval đến những nguồn nào trong bộ tổng hợp?</t>
        </is>
      </c>
      <c r="D61" s="6" t="inlineStr">
        <is>
          <t>Có thể cần Nghị định 85/2015/NĐ-CP về chính sách đối với lao động nữ và Thông tư 26/2013/TT-BLĐTBXH về danh mục công việc không được sử dụng lao động nữ, cùng quy định liên quan trong BLLĐ.</t>
        </is>
      </c>
      <c r="E61" s="6" t="inlineStr">
        <is>
          <t>Căn cứ: phần “Mục lục - lao động nữ”, trang 3. Nội dung được tài liệu xác nhận: Có thể cần Nghị định 85/2015/NĐ-CP về chính sách đối với lao động nữ và Thông tư 26/2013/TT-BLĐTBXH về danh mục công việc không được sử dụng lao động nữ, cùng quy định liên quan trong BLLĐ.</t>
        </is>
      </c>
      <c r="F61" s="6" t="n">
        <v>3</v>
      </c>
      <c r="G61" s="6" t="inlineStr">
        <is>
          <t>Mục lục - lao động nữ</t>
        </is>
      </c>
      <c r="H61" s="6" t="inlineStr">
        <is>
          <t>85/2015 | 26/2013 | lao động nữ</t>
        </is>
      </c>
      <c r="I61" s="6" t="inlineStr">
        <is>
          <t>Hard</t>
        </is>
      </c>
      <c r="J61" s="6" t="inlineStr">
        <is>
          <t>Multiple Chunks</t>
        </is>
      </c>
      <c r="K61" s="6" t="inlineStr">
        <is>
          <t>Yes</t>
        </is>
      </c>
      <c r="L61" s="6" t="inlineStr">
        <is>
          <t>Answer from document</t>
        </is>
      </c>
      <c r="M61" s="6" t="n"/>
      <c r="N61" s="6" t="inlineStr">
        <is>
          <t>luu-ban-nhap-tu-dong-3-4</t>
        </is>
      </c>
      <c r="O61" s="6" t="inlineStr"/>
      <c r="P61" s="6" t="inlineStr"/>
      <c r="Q61" s="6" t="inlineStr"/>
      <c r="R61" s="6" t="inlineStr"/>
      <c r="S61" s="6" t="n"/>
      <c r="T61" s="7" t="n"/>
      <c r="U61" s="7" t="n"/>
      <c r="V61" s="6" t="n"/>
      <c r="W61" s="6" t="inlineStr">
        <is>
          <t>n/a</t>
        </is>
      </c>
      <c r="X61" s="6" t="inlineStr">
        <is>
          <t>BLOCKED</t>
        </is>
      </c>
      <c r="Y61" s="6" t="inlineStr">
        <is>
          <t>Lỗi API: chưa chạy</t>
        </is>
      </c>
      <c r="Z61" s="6" t="n"/>
      <c r="AA61" s="6">
        <f>IF(Z61="",X61,Z61)</f>
        <v/>
      </c>
      <c r="AB61" s="6" t="n"/>
      <c r="AC61" s="6" t="n"/>
    </row>
    <row r="62">
      <c r="A62" s="6" t="inlineStr">
        <is>
          <t>LAW_D_001</t>
        </is>
      </c>
      <c r="B62" s="6" t="inlineStr">
        <is>
          <t>Direct Fact</t>
        </is>
      </c>
      <c r="C62" s="6" t="inlineStr">
        <is>
          <t>Cẩm nang ILO-VCCI được xây dựng để hỗ trợ chủ thể nào?</t>
        </is>
      </c>
      <c r="D62" s="6" t="inlineStr">
        <is>
          <t>Chủ yếu hỗ trợ người sử dụng lao động/doanh nghiệp cập nhật và tuân thủ các thay đổi của BLLĐ 2019.</t>
        </is>
      </c>
      <c r="E62" s="6" t="inlineStr">
        <is>
          <t>Căn cứ: phần “Lời nói đầu”, trang None. Nội dung được tài liệu xác nhận: Chủ yếu hỗ trợ người sử dụng lao động/doanh nghiệp cập nhật và tuân thủ các thay đổi của BLLĐ 2019.</t>
        </is>
      </c>
      <c r="F62" s="6" t="n"/>
      <c r="G62" s="6" t="inlineStr">
        <is>
          <t>Lời nói đầu</t>
        </is>
      </c>
      <c r="H62" s="6" t="inlineStr">
        <is>
          <t>NSDLĐ | doanh nghiệp | BLLĐ 2019</t>
        </is>
      </c>
      <c r="I62" s="6" t="inlineStr">
        <is>
          <t>Easy</t>
        </is>
      </c>
      <c r="J62" s="6" t="inlineStr">
        <is>
          <t>Single Chunk</t>
        </is>
      </c>
      <c r="K62" s="6" t="inlineStr">
        <is>
          <t>Yes</t>
        </is>
      </c>
      <c r="L62" s="6" t="inlineStr">
        <is>
          <t>Answer from document</t>
        </is>
      </c>
      <c r="M62" s="6" t="n"/>
      <c r="N62" s="6" t="inlineStr">
        <is>
          <t>ILO-VCCI_Labour-Law-Guide-Book-V04-Final</t>
        </is>
      </c>
      <c r="O62" s="6" t="inlineStr"/>
      <c r="P62" s="6" t="inlineStr"/>
      <c r="Q62" s="6" t="inlineStr"/>
      <c r="R62" s="6" t="inlineStr"/>
      <c r="S62" s="6" t="n"/>
      <c r="T62" s="7" t="n"/>
      <c r="U62" s="7" t="n"/>
      <c r="V62" s="6" t="n"/>
      <c r="W62" s="6" t="inlineStr">
        <is>
          <t>n/a</t>
        </is>
      </c>
      <c r="X62" s="6" t="inlineStr">
        <is>
          <t>BLOCKED</t>
        </is>
      </c>
      <c r="Y62" s="6" t="inlineStr">
        <is>
          <t>Lỗi API: chưa chạy</t>
        </is>
      </c>
      <c r="Z62" s="6" t="n"/>
      <c r="AA62" s="6">
        <f>IF(Z62="",X62,Z62)</f>
        <v/>
      </c>
      <c r="AB62" s="6" t="n"/>
      <c r="AC62" s="6" t="n"/>
    </row>
    <row r="63">
      <c r="A63" s="6" t="inlineStr">
        <is>
          <t>LAW_D_002</t>
        </is>
      </c>
      <c r="B63" s="6" t="inlineStr">
        <is>
          <t>Direct Fact</t>
        </is>
      </c>
      <c r="C63" s="6" t="inlineStr">
        <is>
          <t>Cẩm nang so sánh chủ yếu hai phiên bản Bộ luật Lao động nào?</t>
        </is>
      </c>
      <c r="D63" s="6" t="inlineStr">
        <is>
          <t>BLLĐ 2012 và BLLĐ 2019.</t>
        </is>
      </c>
      <c r="E63" s="6" t="inlineStr">
        <is>
          <t>Căn cứ: phần “Lời nói đầu”, trang None. Nội dung được tài liệu xác nhận: BLLĐ 2012 và BLLĐ 2019.</t>
        </is>
      </c>
      <c r="F63" s="6" t="n"/>
      <c r="G63" s="6" t="inlineStr">
        <is>
          <t>Lời nói đầu</t>
        </is>
      </c>
      <c r="H63" s="6" t="inlineStr">
        <is>
          <t>BLLĐ 2012 | BLLĐ 2019</t>
        </is>
      </c>
      <c r="I63" s="6" t="inlineStr">
        <is>
          <t>Easy</t>
        </is>
      </c>
      <c r="J63" s="6" t="inlineStr">
        <is>
          <t>Single Chunk</t>
        </is>
      </c>
      <c r="K63" s="6" t="inlineStr">
        <is>
          <t>Yes</t>
        </is>
      </c>
      <c r="L63" s="6" t="inlineStr">
        <is>
          <t>Answer from document</t>
        </is>
      </c>
      <c r="M63" s="6" t="n"/>
      <c r="N63" s="6" t="inlineStr">
        <is>
          <t>ILO-VCCI_Labour-Law-Guide-Book-V04-Final</t>
        </is>
      </c>
      <c r="O63" s="6" t="inlineStr"/>
      <c r="P63" s="6" t="inlineStr"/>
      <c r="Q63" s="6" t="inlineStr"/>
      <c r="R63" s="6" t="inlineStr"/>
      <c r="S63" s="6" t="n"/>
      <c r="T63" s="7" t="n"/>
      <c r="U63" s="7" t="n"/>
      <c r="V63" s="6" t="n"/>
      <c r="W63" s="6" t="inlineStr">
        <is>
          <t>n/a</t>
        </is>
      </c>
      <c r="X63" s="6" t="inlineStr">
        <is>
          <t>BLOCKED</t>
        </is>
      </c>
      <c r="Y63" s="6" t="inlineStr">
        <is>
          <t>Lỗi API: chưa chạy</t>
        </is>
      </c>
      <c r="Z63" s="6" t="n"/>
      <c r="AA63" s="6">
        <f>IF(Z63="",X63,Z63)</f>
        <v/>
      </c>
      <c r="AB63" s="6" t="n"/>
      <c r="AC63" s="6" t="n"/>
    </row>
    <row r="64">
      <c r="A64" s="6" t="inlineStr">
        <is>
          <t>LAW_D_003</t>
        </is>
      </c>
      <c r="B64" s="6" t="inlineStr">
        <is>
          <t>List</t>
        </is>
      </c>
      <c r="C64" s="6" t="inlineStr">
        <is>
          <t>Cẩm nang tập trung vào những nhóm nội dung chính nào?</t>
        </is>
      </c>
      <c r="D64" s="6" t="inlineStr">
        <is>
          <t>Gồm quan hệ/HĐLĐ, chấm dứt HĐLĐ, tiền lương, nghỉ lễ-tết và làm thêm giờ, nghỉ hưu, lao động nữ, kỷ luật lao động; đồng thời có đối thoại và thương lượng tập thể.</t>
        </is>
      </c>
      <c r="E64" s="6" t="inlineStr">
        <is>
          <t>Căn cứ: phần “Lời nói đầu/Mục lục”, trang 4. Nội dung được tài liệu xác nhận: Gồm quan hệ/HĐLĐ, chấm dứt HĐLĐ, tiền lương, nghỉ lễ-tết và làm thêm giờ, nghỉ hưu, lao động nữ, kỷ luật lao động; đồng thời có đối thoại và thương lượng tập thể.</t>
        </is>
      </c>
      <c r="F64" s="6" t="n">
        <v>4</v>
      </c>
      <c r="G64" s="6" t="inlineStr">
        <is>
          <t>Lời nói đầu/Mục lục</t>
        </is>
      </c>
      <c r="H64" s="6" t="inlineStr">
        <is>
          <t>HĐLĐ | chấm dứt | tiền lương | làm thêm | nghỉ hưu | lao động nữ | kỷ luật</t>
        </is>
      </c>
      <c r="I64" s="6" t="inlineStr">
        <is>
          <t>Easy</t>
        </is>
      </c>
      <c r="J64" s="6" t="inlineStr">
        <is>
          <t>Single Chunk</t>
        </is>
      </c>
      <c r="K64" s="6" t="inlineStr">
        <is>
          <t>Yes</t>
        </is>
      </c>
      <c r="L64" s="6" t="inlineStr">
        <is>
          <t>Answer from document</t>
        </is>
      </c>
      <c r="M64" s="6" t="n"/>
      <c r="N64" s="6" t="inlineStr">
        <is>
          <t>ILO-VCCI_Labour-Law-Guide-Book-V04-Final</t>
        </is>
      </c>
      <c r="O64" s="6" t="inlineStr"/>
      <c r="P64" s="6" t="inlineStr"/>
      <c r="Q64" s="6" t="inlineStr"/>
      <c r="R64" s="6" t="inlineStr"/>
      <c r="S64" s="6" t="n"/>
      <c r="T64" s="7" t="n"/>
      <c r="U64" s="7" t="n"/>
      <c r="V64" s="6" t="n"/>
      <c r="W64" s="6" t="inlineStr">
        <is>
          <t>n/a</t>
        </is>
      </c>
      <c r="X64" s="6" t="inlineStr">
        <is>
          <t>BLOCKED</t>
        </is>
      </c>
      <c r="Y64" s="6" t="inlineStr">
        <is>
          <t>Lỗi API: chưa chạy</t>
        </is>
      </c>
      <c r="Z64" s="6" t="n"/>
      <c r="AA64" s="6">
        <f>IF(Z64="",X64,Z64)</f>
        <v/>
      </c>
      <c r="AB64" s="6" t="n"/>
      <c r="AC64" s="6" t="n"/>
    </row>
    <row r="65">
      <c r="A65" s="6" t="inlineStr">
        <is>
          <t>LAW_D_004</t>
        </is>
      </c>
      <c r="B65" s="6" t="inlineStr">
        <is>
          <t>Direct Fact</t>
        </is>
      </c>
      <c r="C65" s="6" t="inlineStr">
        <is>
          <t>Chương I của cẩm nang nói về chủ đề gì?</t>
        </is>
      </c>
      <c r="D65" s="6" t="inlineStr">
        <is>
          <t>Quan hệ lao động và hợp đồng lao động.</t>
        </is>
      </c>
      <c r="E65" s="6" t="inlineStr">
        <is>
          <t>Căn cứ: phần “Chương I”, trang None. Nội dung được tài liệu xác nhận: Quan hệ lao động và hợp đồng lao động.</t>
        </is>
      </c>
      <c r="F65" s="6" t="n"/>
      <c r="G65" s="6" t="inlineStr">
        <is>
          <t>Chương I</t>
        </is>
      </c>
      <c r="H65" s="6" t="inlineStr">
        <is>
          <t>quan hệ lao động | HĐLĐ</t>
        </is>
      </c>
      <c r="I65" s="6" t="inlineStr">
        <is>
          <t>Easy</t>
        </is>
      </c>
      <c r="J65" s="6" t="inlineStr">
        <is>
          <t>Single Chunk</t>
        </is>
      </c>
      <c r="K65" s="6" t="inlineStr">
        <is>
          <t>Yes</t>
        </is>
      </c>
      <c r="L65" s="6" t="inlineStr">
        <is>
          <t>Answer from document</t>
        </is>
      </c>
      <c r="M65" s="6" t="n"/>
      <c r="N65" s="6" t="inlineStr">
        <is>
          <t>ILO-VCCI_Labour-Law-Guide-Book-V04-Final</t>
        </is>
      </c>
      <c r="O65" s="6" t="inlineStr"/>
      <c r="P65" s="6" t="inlineStr"/>
      <c r="Q65" s="6" t="inlineStr"/>
      <c r="R65" s="6" t="inlineStr"/>
      <c r="S65" s="6" t="n"/>
      <c r="T65" s="7" t="n"/>
      <c r="U65" s="7" t="n"/>
      <c r="V65" s="6" t="n"/>
      <c r="W65" s="6" t="inlineStr">
        <is>
          <t>n/a</t>
        </is>
      </c>
      <c r="X65" s="6" t="inlineStr">
        <is>
          <t>BLOCKED</t>
        </is>
      </c>
      <c r="Y65" s="6" t="inlineStr">
        <is>
          <t>Lỗi API: chưa chạy</t>
        </is>
      </c>
      <c r="Z65" s="6" t="n"/>
      <c r="AA65" s="6">
        <f>IF(Z65="",X65,Z65)</f>
        <v/>
      </c>
      <c r="AB65" s="6" t="n"/>
      <c r="AC65" s="6" t="n"/>
    </row>
    <row r="66">
      <c r="A66" s="6" t="inlineStr">
        <is>
          <t>LAW_D_005</t>
        </is>
      </c>
      <c r="B66" s="6" t="inlineStr">
        <is>
          <t>Direct Fact</t>
        </is>
      </c>
      <c r="C66" s="6" t="inlineStr">
        <is>
          <t>Cẩm nang có nội dung riêng về thử việc không?</t>
        </is>
      </c>
      <c r="D66" s="6" t="inlineStr">
        <is>
          <t>Có. Mục lục Chương I có phần về thử việc.</t>
        </is>
      </c>
      <c r="E66" s="6" t="inlineStr">
        <is>
          <t>Căn cứ: phần “Chương I - Thử việc”, trang 5. Nội dung được tài liệu xác nhận: Có. Mục lục Chương I có phần về thử việc.</t>
        </is>
      </c>
      <c r="F66" s="6" t="n">
        <v>5</v>
      </c>
      <c r="G66" s="6" t="inlineStr">
        <is>
          <t>Chương I - Thử việc</t>
        </is>
      </c>
      <c r="H66" s="6" t="inlineStr">
        <is>
          <t>thử việc</t>
        </is>
      </c>
      <c r="I66" s="6" t="inlineStr">
        <is>
          <t>Easy</t>
        </is>
      </c>
      <c r="J66" s="6" t="inlineStr">
        <is>
          <t>Single Chunk</t>
        </is>
      </c>
      <c r="K66" s="6" t="inlineStr">
        <is>
          <t>Yes</t>
        </is>
      </c>
      <c r="L66" s="6" t="inlineStr">
        <is>
          <t>Answer from document</t>
        </is>
      </c>
      <c r="M66" s="6" t="n"/>
      <c r="N66" s="6" t="inlineStr">
        <is>
          <t>ILO-VCCI_Labour-Law-Guide-Book-V04-Final</t>
        </is>
      </c>
      <c r="O66" s="6" t="inlineStr"/>
      <c r="P66" s="6" t="inlineStr"/>
      <c r="Q66" s="6" t="inlineStr"/>
      <c r="R66" s="6" t="inlineStr"/>
      <c r="S66" s="6" t="n"/>
      <c r="T66" s="7" t="n"/>
      <c r="U66" s="7" t="n"/>
      <c r="V66" s="6" t="n"/>
      <c r="W66" s="6" t="inlineStr">
        <is>
          <t>n/a</t>
        </is>
      </c>
      <c r="X66" s="6" t="inlineStr">
        <is>
          <t>BLOCKED</t>
        </is>
      </c>
      <c r="Y66" s="6" t="inlineStr">
        <is>
          <t>Lỗi API: chưa chạy</t>
        </is>
      </c>
      <c r="Z66" s="6" t="n"/>
      <c r="AA66" s="6">
        <f>IF(Z66="",X66,Z66)</f>
        <v/>
      </c>
      <c r="AB66" s="6" t="n"/>
      <c r="AC66" s="6" t="n"/>
    </row>
    <row r="67">
      <c r="A67" s="6" t="inlineStr">
        <is>
          <t>LAW_D_006</t>
        </is>
      </c>
      <c r="B67" s="6" t="inlineStr">
        <is>
          <t>Direct Fact</t>
        </is>
      </c>
      <c r="C67" s="6" t="inlineStr">
        <is>
          <t>Cẩm nang có chương riêng về xử lý kỷ luật lao động không?</t>
        </is>
      </c>
      <c r="D67" s="6" t="inlineStr">
        <is>
          <t>Có. Chương III là Xử lý kỷ luật lao động.</t>
        </is>
      </c>
      <c r="E67" s="6" t="inlineStr">
        <is>
          <t>Căn cứ: phần “Chương III”, trang 7. Nội dung được tài liệu xác nhận: Có. Chương III là Xử lý kỷ luật lao động.</t>
        </is>
      </c>
      <c r="F67" s="6" t="n">
        <v>7</v>
      </c>
      <c r="G67" s="6" t="inlineStr">
        <is>
          <t>Chương III</t>
        </is>
      </c>
      <c r="H67" s="6" t="inlineStr">
        <is>
          <t>kỷ luật lao động</t>
        </is>
      </c>
      <c r="I67" s="6" t="inlineStr">
        <is>
          <t>Easy</t>
        </is>
      </c>
      <c r="J67" s="6" t="inlineStr">
        <is>
          <t>Single Chunk</t>
        </is>
      </c>
      <c r="K67" s="6" t="inlineStr">
        <is>
          <t>Yes</t>
        </is>
      </c>
      <c r="L67" s="6" t="inlineStr">
        <is>
          <t>Answer from document</t>
        </is>
      </c>
      <c r="M67" s="6" t="n"/>
      <c r="N67" s="6" t="inlineStr">
        <is>
          <t>ILO-VCCI_Labour-Law-Guide-Book-V04-Final</t>
        </is>
      </c>
      <c r="O67" s="6" t="inlineStr"/>
      <c r="P67" s="6" t="inlineStr"/>
      <c r="Q67" s="6" t="inlineStr"/>
      <c r="R67" s="6" t="inlineStr"/>
      <c r="S67" s="6" t="n"/>
      <c r="T67" s="7" t="n"/>
      <c r="U67" s="7" t="n"/>
      <c r="V67" s="6" t="n"/>
      <c r="W67" s="6" t="inlineStr">
        <is>
          <t>n/a</t>
        </is>
      </c>
      <c r="X67" s="6" t="inlineStr">
        <is>
          <t>BLOCKED</t>
        </is>
      </c>
      <c r="Y67" s="6" t="inlineStr">
        <is>
          <t>Lỗi API: chưa chạy</t>
        </is>
      </c>
      <c r="Z67" s="6" t="n"/>
      <c r="AA67" s="6">
        <f>IF(Z67="",X67,Z67)</f>
        <v/>
      </c>
      <c r="AB67" s="6" t="n"/>
      <c r="AC67" s="6" t="n"/>
    </row>
    <row r="68">
      <c r="A68" s="6" t="inlineStr">
        <is>
          <t>LAW_D_007</t>
        </is>
      </c>
      <c r="B68" s="6" t="inlineStr">
        <is>
          <t>Direct Fact</t>
        </is>
      </c>
      <c r="C68" s="6" t="inlineStr">
        <is>
          <t>Cẩm nang có nội dung về tiền lương làm thêm giờ và làm việc ban đêm không?</t>
        </is>
      </c>
      <c r="D68" s="6" t="inlineStr">
        <is>
          <t>Có. Mục lục có mục riêng “Tiền lương làm thêm giờ, làm việc vào ban đêm”.</t>
        </is>
      </c>
      <c r="E68" s="6" t="inlineStr">
        <is>
          <t>Căn cứ: phần “Chương tiền lương”, trang 8. Nội dung được tài liệu xác nhận: Có. Mục lục có mục riêng “Tiền lương làm thêm giờ, làm việc vào ban đêm”.</t>
        </is>
      </c>
      <c r="F68" s="6" t="n">
        <v>8</v>
      </c>
      <c r="G68" s="6" t="inlineStr">
        <is>
          <t>Chương tiền lương</t>
        </is>
      </c>
      <c r="H68" s="6" t="inlineStr">
        <is>
          <t>làm thêm giờ | ban đêm | tiền lương</t>
        </is>
      </c>
      <c r="I68" s="6" t="inlineStr">
        <is>
          <t>Easy</t>
        </is>
      </c>
      <c r="J68" s="6" t="inlineStr">
        <is>
          <t>Single Chunk</t>
        </is>
      </c>
      <c r="K68" s="6" t="inlineStr">
        <is>
          <t>Yes</t>
        </is>
      </c>
      <c r="L68" s="6" t="inlineStr">
        <is>
          <t>Answer from document</t>
        </is>
      </c>
      <c r="M68" s="6" t="n"/>
      <c r="N68" s="6" t="inlineStr">
        <is>
          <t>ILO-VCCI_Labour-Law-Guide-Book-V04-Final</t>
        </is>
      </c>
      <c r="O68" s="6" t="inlineStr"/>
      <c r="P68" s="6" t="inlineStr"/>
      <c r="Q68" s="6" t="inlineStr"/>
      <c r="R68" s="6" t="inlineStr"/>
      <c r="S68" s="6" t="n"/>
      <c r="T68" s="7" t="n"/>
      <c r="U68" s="7" t="n"/>
      <c r="V68" s="6" t="n"/>
      <c r="W68" s="6" t="inlineStr">
        <is>
          <t>n/a</t>
        </is>
      </c>
      <c r="X68" s="6" t="inlineStr">
        <is>
          <t>BLOCKED</t>
        </is>
      </c>
      <c r="Y68" s="6" t="inlineStr">
        <is>
          <t>Lỗi API: chưa chạy</t>
        </is>
      </c>
      <c r="Z68" s="6" t="n"/>
      <c r="AA68" s="6">
        <f>IF(Z68="",X68,Z68)</f>
        <v/>
      </c>
      <c r="AB68" s="6" t="n"/>
      <c r="AC68" s="6" t="n"/>
    </row>
    <row r="69">
      <c r="A69" s="6" t="inlineStr">
        <is>
          <t>LAW_D_008</t>
        </is>
      </c>
      <c r="B69" s="6" t="inlineStr">
        <is>
          <t>Concept</t>
        </is>
      </c>
      <c r="C69" s="6" t="inlineStr">
        <is>
          <t>Cẩm nang tiếp cận các thay đổi của BLLĐ 2019 theo cách nào?</t>
        </is>
      </c>
      <c r="D69" s="6" t="inlineStr">
        <is>
          <t>Làm rõ khác biệt giữa BLLĐ 2012 và 2019 cùng văn bản liên quan, sau đó đưa ra giải pháp/kiến nghị để doanh nghiệp điều chỉnh và tuân thủ.</t>
        </is>
      </c>
      <c r="E69" s="6" t="inlineStr">
        <is>
          <t>Căn cứ: phần “Lời nói đầu”, trang 4. Nội dung được tài liệu xác nhận: Làm rõ khác biệt giữa BLLĐ 2012 và 2019 cùng văn bản liên quan, sau đó đưa ra giải pháp/kiến nghị để doanh nghiệp điều chỉnh và tuân thủ.</t>
        </is>
      </c>
      <c r="F69" s="6" t="n">
        <v>4</v>
      </c>
      <c r="G69" s="6" t="inlineStr">
        <is>
          <t>Lời nói đầu</t>
        </is>
      </c>
      <c r="H69" s="6" t="inlineStr">
        <is>
          <t>so sánh 2012-2019 | giải pháp | doanh nghiệp</t>
        </is>
      </c>
      <c r="I69" s="6" t="inlineStr">
        <is>
          <t>Medium</t>
        </is>
      </c>
      <c r="J69" s="6" t="inlineStr">
        <is>
          <t>Single Chunk</t>
        </is>
      </c>
      <c r="K69" s="6" t="inlineStr">
        <is>
          <t>Yes</t>
        </is>
      </c>
      <c r="L69" s="6" t="inlineStr">
        <is>
          <t>Answer from document</t>
        </is>
      </c>
      <c r="M69" s="6" t="n"/>
      <c r="N69" s="6" t="inlineStr">
        <is>
          <t>ILO-VCCI_Labour-Law-Guide-Book-V04-Final</t>
        </is>
      </c>
      <c r="O69" s="6" t="inlineStr"/>
      <c r="P69" s="6" t="inlineStr"/>
      <c r="Q69" s="6" t="inlineStr"/>
      <c r="R69" s="6" t="inlineStr"/>
      <c r="S69" s="6" t="n"/>
      <c r="T69" s="7" t="n"/>
      <c r="U69" s="7" t="n"/>
      <c r="V69" s="6" t="n"/>
      <c r="W69" s="6" t="inlineStr">
        <is>
          <t>n/a</t>
        </is>
      </c>
      <c r="X69" s="6" t="inlineStr">
        <is>
          <t>BLOCKED</t>
        </is>
      </c>
      <c r="Y69" s="6" t="inlineStr">
        <is>
          <t>Lỗi API: chưa chạy</t>
        </is>
      </c>
      <c r="Z69" s="6" t="n"/>
      <c r="AA69" s="6">
        <f>IF(Z69="",X69,Z69)</f>
        <v/>
      </c>
      <c r="AB69" s="6" t="n"/>
      <c r="AC69" s="6" t="n"/>
    </row>
    <row r="70">
      <c r="A70" s="6" t="inlineStr">
        <is>
          <t>LAW_D_009</t>
        </is>
      </c>
      <c r="B70" s="6" t="inlineStr">
        <is>
          <t>Navigation</t>
        </is>
      </c>
      <c r="C70" s="6" t="inlineStr">
        <is>
          <t>Muốn tìm dấu hiệu nhận biết quan hệ lao động, cần truy xuất phần nào?</t>
        </is>
      </c>
      <c r="D70" s="6" t="inlineStr">
        <is>
          <t>Chương I, mục I - Quan hệ lao động, phần “Dấu hiệu nhận biết quan hệ lao động”.</t>
        </is>
      </c>
      <c r="E70" s="6" t="inlineStr">
        <is>
          <t>Căn cứ: phần “Chương I - Quan hệ lao động”, trang 5. Nội dung được tài liệu xác nhận: Chương I, mục I - Quan hệ lao động, phần “Dấu hiệu nhận biết quan hệ lao động”.</t>
        </is>
      </c>
      <c r="F70" s="6" t="n">
        <v>5</v>
      </c>
      <c r="G70" s="6" t="inlineStr">
        <is>
          <t>Chương I - Quan hệ lao động</t>
        </is>
      </c>
      <c r="H70" s="6" t="inlineStr">
        <is>
          <t>dấu hiệu | quan hệ lao động</t>
        </is>
      </c>
      <c r="I70" s="6" t="inlineStr">
        <is>
          <t>Medium</t>
        </is>
      </c>
      <c r="J70" s="6" t="inlineStr">
        <is>
          <t>Single Chunk</t>
        </is>
      </c>
      <c r="K70" s="6" t="inlineStr">
        <is>
          <t>Yes</t>
        </is>
      </c>
      <c r="L70" s="6" t="inlineStr">
        <is>
          <t>Answer from document</t>
        </is>
      </c>
      <c r="M70" s="6" t="n"/>
      <c r="N70" s="6" t="inlineStr">
        <is>
          <t>ILO-VCCI_Labour-Law-Guide-Book-V04-Final</t>
        </is>
      </c>
      <c r="O70" s="6" t="inlineStr"/>
      <c r="P70" s="6" t="inlineStr"/>
      <c r="Q70" s="6" t="inlineStr"/>
      <c r="R70" s="6" t="inlineStr"/>
      <c r="S70" s="6" t="n"/>
      <c r="T70" s="7" t="n"/>
      <c r="U70" s="7" t="n"/>
      <c r="V70" s="6" t="n"/>
      <c r="W70" s="6" t="inlineStr">
        <is>
          <t>n/a</t>
        </is>
      </c>
      <c r="X70" s="6" t="inlineStr">
        <is>
          <t>BLOCKED</t>
        </is>
      </c>
      <c r="Y70" s="6" t="inlineStr">
        <is>
          <t>Lỗi API: chưa chạy</t>
        </is>
      </c>
      <c r="Z70" s="6" t="n"/>
      <c r="AA70" s="6">
        <f>IF(Z70="",X70,Z70)</f>
        <v/>
      </c>
      <c r="AB70" s="6" t="n"/>
      <c r="AC70" s="6" t="n"/>
    </row>
    <row r="71">
      <c r="A71" s="6" t="inlineStr">
        <is>
          <t>LAW_D_010</t>
        </is>
      </c>
      <c r="B71" s="6" t="inlineStr">
        <is>
          <t>Navigation</t>
        </is>
      </c>
      <c r="C71" s="6" t="inlineStr">
        <is>
          <t>Muốn tìm thay đổi về quyền NLĐ đơn phương chấm dứt HĐLĐ, cần truy xuất phần nào?</t>
        </is>
      </c>
      <c r="D71" s="6" t="inlineStr">
        <is>
          <t>Chương về chấm dứt HĐLĐ, mục nêu “Những điểm mới liên quan đến việc NLĐ đơn phương chấm dứt HĐLĐ”.</t>
        </is>
      </c>
      <c r="E71" s="6" t="inlineStr">
        <is>
          <t>Căn cứ: phần “Chấm dứt HĐLĐ”, trang 6. Nội dung được tài liệu xác nhận: Chương về chấm dứt HĐLĐ, mục nêu “Những điểm mới liên quan đến việc NLĐ đơn phương chấm dứt HĐLĐ”.</t>
        </is>
      </c>
      <c r="F71" s="6" t="n">
        <v>6</v>
      </c>
      <c r="G71" s="6" t="inlineStr">
        <is>
          <t>Chấm dứt HĐLĐ</t>
        </is>
      </c>
      <c r="H71" s="6" t="inlineStr">
        <is>
          <t>NLĐ | đơn phương chấm dứt | điểm mới</t>
        </is>
      </c>
      <c r="I71" s="6" t="inlineStr">
        <is>
          <t>Medium</t>
        </is>
      </c>
      <c r="J71" s="6" t="inlineStr">
        <is>
          <t>Single Chunk</t>
        </is>
      </c>
      <c r="K71" s="6" t="inlineStr">
        <is>
          <t>Yes</t>
        </is>
      </c>
      <c r="L71" s="6" t="inlineStr">
        <is>
          <t>Answer from document</t>
        </is>
      </c>
      <c r="M71" s="6" t="n"/>
      <c r="N71" s="6" t="inlineStr">
        <is>
          <t>ILO-VCCI_Labour-Law-Guide-Book-V04-Final</t>
        </is>
      </c>
      <c r="O71" s="6" t="inlineStr"/>
      <c r="P71" s="6" t="inlineStr"/>
      <c r="Q71" s="6" t="inlineStr"/>
      <c r="R71" s="6" t="inlineStr"/>
      <c r="S71" s="6" t="n"/>
      <c r="T71" s="7" t="n"/>
      <c r="U71" s="7" t="n"/>
      <c r="V71" s="6" t="n"/>
      <c r="W71" s="6" t="inlineStr">
        <is>
          <t>n/a</t>
        </is>
      </c>
      <c r="X71" s="6" t="inlineStr">
        <is>
          <t>BLOCKED</t>
        </is>
      </c>
      <c r="Y71" s="6" t="inlineStr">
        <is>
          <t>Lỗi API: chưa chạy</t>
        </is>
      </c>
      <c r="Z71" s="6" t="n"/>
      <c r="AA71" s="6">
        <f>IF(Z71="",X71,Z71)</f>
        <v/>
      </c>
      <c r="AB71" s="6" t="n"/>
      <c r="AC71" s="6" t="n"/>
    </row>
    <row r="72">
      <c r="A72" s="6" t="inlineStr">
        <is>
          <t>LAW_D_011</t>
        </is>
      </c>
      <c r="B72" s="6" t="inlineStr">
        <is>
          <t>Navigation</t>
        </is>
      </c>
      <c r="C72" s="6" t="inlineStr">
        <is>
          <t>Câu hỏi doanh nghiệp cho thôi việc do thay đổi cơ cấu, công nghệ hoặc lý do kinh tế cần truy xuất phần nào?</t>
        </is>
      </c>
      <c r="D72" s="6" t="inlineStr">
        <is>
          <t>Phần III về chấm dứt HĐLĐ do thay đổi cơ cấu, công nghệ hoặc vì lý do kinh tế, gồm căn cứ và quy trình cho thôi việc.</t>
        </is>
      </c>
      <c r="E72" s="6" t="inlineStr">
        <is>
          <t>Căn cứ: phần “Chấm dứt HĐLĐ”, trang 6. Nội dung được tài liệu xác nhận: Phần III về chấm dứt HĐLĐ do thay đổi cơ cấu, công nghệ hoặc vì lý do kinh tế, gồm căn cứ và quy trình cho thôi việc.</t>
        </is>
      </c>
      <c r="F72" s="6" t="n">
        <v>6</v>
      </c>
      <c r="G72" s="6" t="inlineStr">
        <is>
          <t>Chấm dứt HĐLĐ</t>
        </is>
      </c>
      <c r="H72" s="6" t="inlineStr">
        <is>
          <t>cơ cấu | công nghệ | lý do kinh tế | cho thôi việc</t>
        </is>
      </c>
      <c r="I72" s="6" t="inlineStr">
        <is>
          <t>Medium</t>
        </is>
      </c>
      <c r="J72" s="6" t="inlineStr">
        <is>
          <t>Single Chunk</t>
        </is>
      </c>
      <c r="K72" s="6" t="inlineStr">
        <is>
          <t>Yes</t>
        </is>
      </c>
      <c r="L72" s="6" t="inlineStr">
        <is>
          <t>Answer from document</t>
        </is>
      </c>
      <c r="M72" s="6" t="n"/>
      <c r="N72" s="6" t="inlineStr">
        <is>
          <t>ILO-VCCI_Labour-Law-Guide-Book-V04-Final</t>
        </is>
      </c>
      <c r="O72" s="6" t="inlineStr"/>
      <c r="P72" s="6" t="inlineStr"/>
      <c r="Q72" s="6" t="inlineStr"/>
      <c r="R72" s="6" t="inlineStr"/>
      <c r="S72" s="6" t="n"/>
      <c r="T72" s="7" t="n"/>
      <c r="U72" s="7" t="n"/>
      <c r="V72" s="6" t="n"/>
      <c r="W72" s="6" t="inlineStr">
        <is>
          <t>n/a</t>
        </is>
      </c>
      <c r="X72" s="6" t="inlineStr">
        <is>
          <t>BLOCKED</t>
        </is>
      </c>
      <c r="Y72" s="6" t="inlineStr">
        <is>
          <t>Lỗi API: chưa chạy</t>
        </is>
      </c>
      <c r="Z72" s="6" t="n"/>
      <c r="AA72" s="6">
        <f>IF(Z72="",X72,Z72)</f>
        <v/>
      </c>
      <c r="AB72" s="6" t="n"/>
      <c r="AC72" s="6" t="n"/>
    </row>
    <row r="73">
      <c r="A73" s="6" t="inlineStr">
        <is>
          <t>LAW_D_012</t>
        </is>
      </c>
      <c r="B73" s="6" t="inlineStr">
        <is>
          <t>Navigation</t>
        </is>
      </c>
      <c r="C73" s="6" t="inlineStr">
        <is>
          <t>Muốn tra các hình thức xử lý kỷ luật lao động, cần vào phần nào?</t>
        </is>
      </c>
      <c r="D73" s="6" t="inlineStr">
        <is>
          <t>Chương III - Xử lý kỷ luật lao động, mục II “Các hình thức xử lý kỷ luật lao động”.</t>
        </is>
      </c>
      <c r="E73" s="6" t="inlineStr">
        <is>
          <t>Căn cứ: phần “Chương III”, trang 7. Nội dung được tài liệu xác nhận: Chương III - Xử lý kỷ luật lao động, mục II “Các hình thức xử lý kỷ luật lao động”.</t>
        </is>
      </c>
      <c r="F73" s="6" t="n">
        <v>7</v>
      </c>
      <c r="G73" s="6" t="inlineStr">
        <is>
          <t>Chương III</t>
        </is>
      </c>
      <c r="H73" s="6" t="inlineStr">
        <is>
          <t>hình thức | kỷ luật lao động</t>
        </is>
      </c>
      <c r="I73" s="6" t="inlineStr">
        <is>
          <t>Medium</t>
        </is>
      </c>
      <c r="J73" s="6" t="inlineStr">
        <is>
          <t>Single Chunk</t>
        </is>
      </c>
      <c r="K73" s="6" t="inlineStr">
        <is>
          <t>Yes</t>
        </is>
      </c>
      <c r="L73" s="6" t="inlineStr">
        <is>
          <t>Answer from document</t>
        </is>
      </c>
      <c r="M73" s="6" t="n"/>
      <c r="N73" s="6" t="inlineStr">
        <is>
          <t>ILO-VCCI_Labour-Law-Guide-Book-V04-Final</t>
        </is>
      </c>
      <c r="O73" s="6" t="inlineStr"/>
      <c r="P73" s="6" t="inlineStr"/>
      <c r="Q73" s="6" t="inlineStr"/>
      <c r="R73" s="6" t="inlineStr"/>
      <c r="S73" s="6" t="n"/>
      <c r="T73" s="7" t="n"/>
      <c r="U73" s="7" t="n"/>
      <c r="V73" s="6" t="n"/>
      <c r="W73" s="6" t="inlineStr">
        <is>
          <t>n/a</t>
        </is>
      </c>
      <c r="X73" s="6" t="inlineStr">
        <is>
          <t>BLOCKED</t>
        </is>
      </c>
      <c r="Y73" s="6" t="inlineStr">
        <is>
          <t>Lỗi API: chưa chạy</t>
        </is>
      </c>
      <c r="Z73" s="6" t="n"/>
      <c r="AA73" s="6">
        <f>IF(Z73="",X73,Z73)</f>
        <v/>
      </c>
      <c r="AB73" s="6" t="n"/>
      <c r="AC73" s="6" t="n"/>
    </row>
    <row r="74">
      <c r="A74" s="6" t="inlineStr">
        <is>
          <t>LAW_D_013</t>
        </is>
      </c>
      <c r="B74" s="6" t="inlineStr">
        <is>
          <t>Navigation</t>
        </is>
      </c>
      <c r="C74" s="6" t="inlineStr">
        <is>
          <t>Muốn tra kỳ hạn trả lương, cần tìm mục nào?</t>
        </is>
      </c>
      <c r="D74" s="6" t="inlineStr">
        <is>
          <t>Mục “Kỳ hạn trả lương” trong chương/phần về tiền lương.</t>
        </is>
      </c>
      <c r="E74" s="6" t="inlineStr">
        <is>
          <t>Căn cứ: phần “Tiền lương”, trang 8. Nội dung được tài liệu xác nhận: Mục “Kỳ hạn trả lương” trong chương/phần về tiền lương.</t>
        </is>
      </c>
      <c r="F74" s="6" t="n">
        <v>8</v>
      </c>
      <c r="G74" s="6" t="inlineStr">
        <is>
          <t>Tiền lương</t>
        </is>
      </c>
      <c r="H74" s="6" t="inlineStr">
        <is>
          <t>kỳ hạn | trả lương</t>
        </is>
      </c>
      <c r="I74" s="6" t="inlineStr">
        <is>
          <t>Medium</t>
        </is>
      </c>
      <c r="J74" s="6" t="inlineStr">
        <is>
          <t>Single Chunk</t>
        </is>
      </c>
      <c r="K74" s="6" t="inlineStr">
        <is>
          <t>Yes</t>
        </is>
      </c>
      <c r="L74" s="6" t="inlineStr">
        <is>
          <t>Answer from document</t>
        </is>
      </c>
      <c r="M74" s="6" t="n"/>
      <c r="N74" s="6" t="inlineStr">
        <is>
          <t>ILO-VCCI_Labour-Law-Guide-Book-V04-Final</t>
        </is>
      </c>
      <c r="O74" s="6" t="inlineStr"/>
      <c r="P74" s="6" t="inlineStr"/>
      <c r="Q74" s="6" t="inlineStr"/>
      <c r="R74" s="6" t="inlineStr"/>
      <c r="S74" s="6" t="n"/>
      <c r="T74" s="7" t="n"/>
      <c r="U74" s="7" t="n"/>
      <c r="V74" s="6" t="n"/>
      <c r="W74" s="6" t="inlineStr">
        <is>
          <t>n/a</t>
        </is>
      </c>
      <c r="X74" s="6" t="inlineStr">
        <is>
          <t>BLOCKED</t>
        </is>
      </c>
      <c r="Y74" s="6" t="inlineStr">
        <is>
          <t>Lỗi API: chưa chạy</t>
        </is>
      </c>
      <c r="Z74" s="6" t="n"/>
      <c r="AA74" s="6">
        <f>IF(Z74="",X74,Z74)</f>
        <v/>
      </c>
      <c r="AB74" s="6" t="n"/>
      <c r="AC74" s="6" t="n"/>
    </row>
    <row r="75">
      <c r="A75" s="6" t="inlineStr">
        <is>
          <t>LAW_D_014</t>
        </is>
      </c>
      <c r="B75" s="6" t="inlineStr">
        <is>
          <t>Scope</t>
        </is>
      </c>
      <c r="C75" s="6" t="inlineStr">
        <is>
          <t>Cẩm nang có áp dụng chi tiết cho doanh nghiệp cho thuê lại lao động không?</t>
        </is>
      </c>
      <c r="D75" s="6" t="inlineStr">
        <is>
          <t>Không phải trọng tâm. Tài liệu lưu ý phạm vi dành cho đa số doanh nghiệp sản xuất kinh doanh; doanh nghiệp kinh doanh có điều kiện như cho thuê lại lao động được hướng dẫn chi tiết ở tài liệu khác.</t>
        </is>
      </c>
      <c r="E75" s="6" t="inlineStr">
        <is>
          <t>Căn cứ: phần “Lời nói đầu - Phạm vi”, trang None. Nội dung được tài liệu xác nhận: Không phải trọng tâm. Tài liệu lưu ý phạm vi dành cho đa số doanh nghiệp sản xuất kinh doanh; doanh nghiệp kinh doanh có điều kiện như cho thuê lại lao động được hướng dẫn chi tiết ở tài liệu khác.</t>
        </is>
      </c>
      <c r="F75" s="6" t="n"/>
      <c r="G75" s="6" t="inlineStr">
        <is>
          <t>Lời nói đầu - Phạm vi</t>
        </is>
      </c>
      <c r="H75" s="6" t="inlineStr">
        <is>
          <t>phạm vi | cho thuê lại lao động | tài liệu khác</t>
        </is>
      </c>
      <c r="I75" s="6" t="inlineStr">
        <is>
          <t>Medium</t>
        </is>
      </c>
      <c r="J75" s="6" t="inlineStr">
        <is>
          <t>Single Chunk</t>
        </is>
      </c>
      <c r="K75" s="6" t="inlineStr">
        <is>
          <t>Yes</t>
        </is>
      </c>
      <c r="L75" s="6" t="inlineStr">
        <is>
          <t>Answer from document</t>
        </is>
      </c>
      <c r="M75" s="6" t="n"/>
      <c r="N75" s="6" t="inlineStr">
        <is>
          <t>ILO-VCCI_Labour-Law-Guide-Book-V04-Final</t>
        </is>
      </c>
      <c r="O75" s="6" t="inlineStr"/>
      <c r="P75" s="6" t="inlineStr"/>
      <c r="Q75" s="6" t="inlineStr"/>
      <c r="R75" s="6" t="inlineStr"/>
      <c r="S75" s="6" t="n"/>
      <c r="T75" s="7" t="n"/>
      <c r="U75" s="7" t="n"/>
      <c r="V75" s="6" t="n"/>
      <c r="W75" s="6" t="inlineStr">
        <is>
          <t>n/a</t>
        </is>
      </c>
      <c r="X75" s="6" t="inlineStr">
        <is>
          <t>BLOCKED</t>
        </is>
      </c>
      <c r="Y75" s="6" t="inlineStr">
        <is>
          <t>Lỗi API: chưa chạy</t>
        </is>
      </c>
      <c r="Z75" s="6" t="n"/>
      <c r="AA75" s="6">
        <f>IF(Z75="",X75,Z75)</f>
        <v/>
      </c>
      <c r="AB75" s="6" t="n"/>
      <c r="AC75" s="6" t="n"/>
    </row>
    <row r="76">
      <c r="A76" s="6" t="inlineStr">
        <is>
          <t>LAW_D_015</t>
        </is>
      </c>
      <c r="B76" s="6" t="inlineStr">
        <is>
          <t>Multi-hop</t>
        </is>
      </c>
      <c r="C76" s="6" t="inlineStr">
        <is>
          <t>Một doanh nghiệp hỏi vừa về chuyển NLĐ sang công việc khác vừa về chấm dứt HĐLĐ do thay đổi cơ cấu. Retrieval nên lấy những phần nào?</t>
        </is>
      </c>
      <c r="D76" s="6" t="inlineStr">
        <is>
          <t>Cần kết hợp nội dung Chương I về chuyển NLĐ làm công việc khác so với HĐLĐ với phần chấm dứt HĐLĐ do thay đổi cơ cấu, công nghệ/lý do kinh tế.</t>
        </is>
      </c>
      <c r="E76" s="6" t="inlineStr">
        <is>
          <t>Căn cứ: phần “Chương I + Chấm dứt HĐLĐ”, trang 4. Nội dung được tài liệu xác nhận: Cần kết hợp nội dung Chương I về chuyển NLĐ làm công việc khác so với HĐLĐ với phần chấm dứt HĐLĐ do thay đổi cơ cấu, công nghệ/lý do kinh tế.</t>
        </is>
      </c>
      <c r="F76" s="6" t="n">
        <v>4</v>
      </c>
      <c r="G76" s="6" t="inlineStr">
        <is>
          <t>Chương I + Chấm dứt HĐLĐ</t>
        </is>
      </c>
      <c r="H76" s="6" t="inlineStr">
        <is>
          <t>chuyển công việc | thay đổi cơ cấu | chấm dứt</t>
        </is>
      </c>
      <c r="I76" s="6" t="inlineStr">
        <is>
          <t>Hard</t>
        </is>
      </c>
      <c r="J76" s="6" t="inlineStr">
        <is>
          <t>Multiple Chunks</t>
        </is>
      </c>
      <c r="K76" s="6" t="inlineStr">
        <is>
          <t>Yes</t>
        </is>
      </c>
      <c r="L76" s="6" t="inlineStr">
        <is>
          <t>Answer from document</t>
        </is>
      </c>
      <c r="M76" s="6" t="n"/>
      <c r="N76" s="6" t="inlineStr">
        <is>
          <t>ILO-VCCI_Labour-Law-Guide-Book-V04-Final</t>
        </is>
      </c>
      <c r="O76" s="6" t="inlineStr"/>
      <c r="P76" s="6" t="inlineStr"/>
      <c r="Q76" s="6" t="inlineStr"/>
      <c r="R76" s="6" t="inlineStr"/>
      <c r="S76" s="6" t="n"/>
      <c r="T76" s="7" t="n"/>
      <c r="U76" s="7" t="n"/>
      <c r="V76" s="6" t="n"/>
      <c r="W76" s="6" t="inlineStr">
        <is>
          <t>n/a</t>
        </is>
      </c>
      <c r="X76" s="6" t="inlineStr">
        <is>
          <t>BLOCKED</t>
        </is>
      </c>
      <c r="Y76" s="6" t="inlineStr">
        <is>
          <t>Lỗi API: chưa chạy</t>
        </is>
      </c>
      <c r="Z76" s="6" t="n"/>
      <c r="AA76" s="6">
        <f>IF(Z76="",X76,Z76)</f>
        <v/>
      </c>
      <c r="AB76" s="6" t="n"/>
      <c r="AC76" s="6" t="n"/>
    </row>
    <row r="77">
      <c r="A77" s="6" t="inlineStr">
        <is>
          <t>LAW_D_016</t>
        </is>
      </c>
      <c r="B77" s="6" t="inlineStr">
        <is>
          <t>Multi-hop</t>
        </is>
      </c>
      <c r="C77" s="6" t="inlineStr">
        <is>
          <t>Một câu hỏi về làm thêm vào ngày lễ vừa liên quan thời giờ nghỉ vừa liên quan tiền lương. Cẩm nang định hướng retrieval qua những nhóm nội dung nào?</t>
        </is>
      </c>
      <c r="D77" s="6" t="inlineStr">
        <is>
          <t>Cần kết hợp phần ngày nghỉ lễ, tết/quy định làm thêm giờ với phần tiền lương, đặc biệt tiền lương làm thêm giờ và làm việc ban đêm.</t>
        </is>
      </c>
      <c r="E77" s="6" t="inlineStr">
        <is>
          <t>Căn cứ: phần “Nghỉ lễ/tết + Tiền lương”, trang 4. Nội dung được tài liệu xác nhận: Cần kết hợp phần ngày nghỉ lễ, tết/quy định làm thêm giờ với phần tiền lương, đặc biệt tiền lương làm thêm giờ và làm việc ban đêm.</t>
        </is>
      </c>
      <c r="F77" s="6" t="n">
        <v>4</v>
      </c>
      <c r="G77" s="6" t="inlineStr">
        <is>
          <t>Nghỉ lễ/tết + Tiền lương</t>
        </is>
      </c>
      <c r="H77" s="6" t="inlineStr">
        <is>
          <t>ngày lễ | làm thêm | tiền lương</t>
        </is>
      </c>
      <c r="I77" s="6" t="inlineStr">
        <is>
          <t>Hard</t>
        </is>
      </c>
      <c r="J77" s="6" t="inlineStr">
        <is>
          <t>Multiple Chunks</t>
        </is>
      </c>
      <c r="K77" s="6" t="inlineStr">
        <is>
          <t>Yes</t>
        </is>
      </c>
      <c r="L77" s="6" t="inlineStr">
        <is>
          <t>Answer from document</t>
        </is>
      </c>
      <c r="M77" s="6" t="n"/>
      <c r="N77" s="6" t="inlineStr">
        <is>
          <t>ILO-VCCI_Labour-Law-Guide-Book-V04-Final</t>
        </is>
      </c>
      <c r="O77" s="6" t="inlineStr"/>
      <c r="P77" s="6" t="inlineStr"/>
      <c r="Q77" s="6" t="inlineStr"/>
      <c r="R77" s="6" t="inlineStr"/>
      <c r="S77" s="6" t="n"/>
      <c r="T77" s="7" t="n"/>
      <c r="U77" s="7" t="n"/>
      <c r="V77" s="6" t="n"/>
      <c r="W77" s="6" t="inlineStr">
        <is>
          <t>n/a</t>
        </is>
      </c>
      <c r="X77" s="6" t="inlineStr">
        <is>
          <t>BLOCKED</t>
        </is>
      </c>
      <c r="Y77" s="6" t="inlineStr">
        <is>
          <t>Lỗi API: chưa chạy</t>
        </is>
      </c>
      <c r="Z77" s="6" t="n"/>
      <c r="AA77" s="6">
        <f>IF(Z77="",X77,Z77)</f>
        <v/>
      </c>
      <c r="AB77" s="6" t="n"/>
      <c r="AC77" s="6" t="n"/>
    </row>
    <row r="78">
      <c r="A78" s="6" t="inlineStr">
        <is>
          <t>LAW_D_017</t>
        </is>
      </c>
      <c r="B78" s="6" t="inlineStr">
        <is>
          <t>Comparison</t>
        </is>
      </c>
      <c r="C78" s="6" t="inlineStr">
        <is>
          <t>Vì sao cẩm nang phù hợp để test câu hỏi “điểm mới” hơn một văn bản luật thuần túy?</t>
        </is>
      </c>
      <c r="D78" s="6" t="inlineStr">
        <is>
          <t>Vì cẩm nang chủ động so sánh BLLĐ 2012 với BLLĐ 2019 và giải thích thay đổi, thay vì chỉ trình bày điều khoản hiện hành.</t>
        </is>
      </c>
      <c r="E78" s="6" t="inlineStr">
        <is>
          <t>Căn cứ: phần “Lời nói đầu”, trang None. Nội dung được tài liệu xác nhận: Vì cẩm nang chủ động so sánh BLLĐ 2012 với BLLĐ 2019 và giải thích thay đổi, thay vì chỉ trình bày điều khoản hiện hành.</t>
        </is>
      </c>
      <c r="F78" s="6" t="n"/>
      <c r="G78" s="6" t="inlineStr">
        <is>
          <t>Lời nói đầu</t>
        </is>
      </c>
      <c r="H78" s="6" t="inlineStr">
        <is>
          <t>so sánh | điểm mới | 2012 | 2019</t>
        </is>
      </c>
      <c r="I78" s="6" t="inlineStr">
        <is>
          <t>Hard</t>
        </is>
      </c>
      <c r="J78" s="6" t="inlineStr">
        <is>
          <t>Single Chunk</t>
        </is>
      </c>
      <c r="K78" s="6" t="inlineStr">
        <is>
          <t>Yes</t>
        </is>
      </c>
      <c r="L78" s="6" t="inlineStr">
        <is>
          <t>Answer from document</t>
        </is>
      </c>
      <c r="M78" s="6" t="n"/>
      <c r="N78" s="6" t="inlineStr">
        <is>
          <t>ILO-VCCI_Labour-Law-Guide-Book-V04-Final</t>
        </is>
      </c>
      <c r="O78" s="6" t="inlineStr"/>
      <c r="P78" s="6" t="inlineStr"/>
      <c r="Q78" s="6" t="inlineStr"/>
      <c r="R78" s="6" t="inlineStr"/>
      <c r="S78" s="6" t="n"/>
      <c r="T78" s="7" t="n"/>
      <c r="U78" s="7" t="n"/>
      <c r="V78" s="6" t="n"/>
      <c r="W78" s="6" t="inlineStr">
        <is>
          <t>n/a</t>
        </is>
      </c>
      <c r="X78" s="6" t="inlineStr">
        <is>
          <t>BLOCKED</t>
        </is>
      </c>
      <c r="Y78" s="6" t="inlineStr">
        <is>
          <t>Lỗi API: chưa chạy</t>
        </is>
      </c>
      <c r="Z78" s="6" t="n"/>
      <c r="AA78" s="6">
        <f>IF(Z78="",X78,Z78)</f>
        <v/>
      </c>
      <c r="AB78" s="6" t="n"/>
      <c r="AC78" s="6" t="n"/>
    </row>
    <row r="79">
      <c r="A79" s="6" t="inlineStr">
        <is>
          <t>LAW_D_018</t>
        </is>
      </c>
      <c r="B79" s="6" t="inlineStr">
        <is>
          <t>Source-awareness</t>
        </is>
      </c>
      <c r="C79" s="6" t="inlineStr">
        <is>
          <t>Nếu cẩm nang nói một quy định “mới” của BLLĐ 2019, RAG có nên tự suy ra đó vẫn là quy định mới nhất năm 2026 không?</t>
        </is>
      </c>
      <c r="D79" s="6" t="inlineStr">
        <is>
          <t>Không. Cẩm nang xuất bản năm 2021 và tự lưu ý có thể có quy định mới chưa kịp cập nhật; câu hỏi hiện hành 2026 cần đối chiếu nguồn pháp luật cập nhật hơn.</t>
        </is>
      </c>
      <c r="E79" s="6" t="inlineStr">
        <is>
          <t>Căn cứ: phần “Lời nói đầu - Lưu ý cập nhật”, trang None. Nội dung được tài liệu xác nhận: Không. Cẩm nang xuất bản năm 2021 và tự lưu ý có thể có quy định mới chưa kịp cập nhật; câu hỏi hiện hành 2026 cần đối chiếu nguồn pháp luật cập nhật hơn.</t>
        </is>
      </c>
      <c r="F79" s="6" t="n"/>
      <c r="G79" s="6" t="inlineStr">
        <is>
          <t>Lời nói đầu - Lưu ý cập nhật</t>
        </is>
      </c>
      <c r="H79" s="6" t="inlineStr">
        <is>
          <t>2021 | cập nhật | 2026 | đối chiếu</t>
        </is>
      </c>
      <c r="I79" s="6" t="inlineStr">
        <is>
          <t>Hard</t>
        </is>
      </c>
      <c r="J79" s="6" t="inlineStr">
        <is>
          <t>Multiple Chunks</t>
        </is>
      </c>
      <c r="K79" s="6" t="inlineStr">
        <is>
          <t>Yes</t>
        </is>
      </c>
      <c r="L79" s="6" t="inlineStr">
        <is>
          <t>Answer with temporal caveat</t>
        </is>
      </c>
      <c r="M79" s="6" t="n"/>
      <c r="N79" s="6" t="inlineStr">
        <is>
          <t>ILO-VCCI_Labour-Law-Guide-Book-V04-Final</t>
        </is>
      </c>
      <c r="O79" s="6" t="inlineStr"/>
      <c r="P79" s="6" t="inlineStr"/>
      <c r="Q79" s="6" t="inlineStr"/>
      <c r="R79" s="6" t="inlineStr"/>
      <c r="S79" s="6" t="n"/>
      <c r="T79" s="7" t="n"/>
      <c r="U79" s="7" t="n"/>
      <c r="V79" s="6" t="n"/>
      <c r="W79" s="6" t="inlineStr">
        <is>
          <t>n/a</t>
        </is>
      </c>
      <c r="X79" s="6" t="inlineStr">
        <is>
          <t>BLOCKED</t>
        </is>
      </c>
      <c r="Y79" s="6" t="inlineStr">
        <is>
          <t>Lỗi API: chưa chạy</t>
        </is>
      </c>
      <c r="Z79" s="6" t="n"/>
      <c r="AA79" s="6">
        <f>IF(Z79="",X79,Z79)</f>
        <v/>
      </c>
      <c r="AB79" s="6" t="n"/>
      <c r="AC79" s="6" t="n"/>
    </row>
    <row r="80">
      <c r="A80" s="6" t="inlineStr">
        <is>
          <t>LAW_D_019</t>
        </is>
      </c>
      <c r="B80" s="6" t="inlineStr">
        <is>
          <t>Synthesis</t>
        </is>
      </c>
      <c r="C80" s="6" t="inlineStr">
        <is>
          <t>Mục tiêu của cẩm nang đối với quản trị doanh nghiệp là gì ngoài việc “biết luật”?</t>
        </is>
      </c>
      <c r="D80" s="6" t="inlineStr">
        <is>
          <t>Giúp NSDLĐ nhận diện thay đổi pháp luật để tuân thủ, cải cách bộ máy quản lý và tổ chức đối thoại/thương lượng tập thể, qua đó hạn chế mâu thuẫn trong quan hệ lao động.</t>
        </is>
      </c>
      <c r="E80" s="6" t="inlineStr">
        <is>
          <t>Căn cứ: phần “Lời nói đầu”, trang 3. Nội dung được tài liệu xác nhận: Giúp NSDLĐ nhận diện thay đổi pháp luật để tuân thủ, cải cách bộ máy quản lý và tổ chức đối thoại/thương lượng tập thể, qua đó hạn chế mâu thuẫn trong quan hệ lao động.</t>
        </is>
      </c>
      <c r="F80" s="6" t="n">
        <v>3</v>
      </c>
      <c r="G80" s="6" t="inlineStr">
        <is>
          <t>Lời nói đầu</t>
        </is>
      </c>
      <c r="H80" s="6" t="inlineStr">
        <is>
          <t>tuân thủ | quản trị | đối thoại | thương lượng | mâu thuẫn</t>
        </is>
      </c>
      <c r="I80" s="6" t="inlineStr">
        <is>
          <t>Hard</t>
        </is>
      </c>
      <c r="J80" s="6" t="inlineStr">
        <is>
          <t>Multiple Chunks</t>
        </is>
      </c>
      <c r="K80" s="6" t="inlineStr">
        <is>
          <t>Yes</t>
        </is>
      </c>
      <c r="L80" s="6" t="inlineStr">
        <is>
          <t>Answer from document</t>
        </is>
      </c>
      <c r="M80" s="6" t="n"/>
      <c r="N80" s="6" t="inlineStr">
        <is>
          <t>ILO-VCCI_Labour-Law-Guide-Book-V04-Final</t>
        </is>
      </c>
      <c r="O80" s="6" t="inlineStr"/>
      <c r="P80" s="6" t="inlineStr"/>
      <c r="Q80" s="6" t="inlineStr"/>
      <c r="R80" s="6" t="inlineStr"/>
      <c r="S80" s="6" t="n"/>
      <c r="T80" s="7" t="n"/>
      <c r="U80" s="7" t="n"/>
      <c r="V80" s="6" t="n"/>
      <c r="W80" s="6" t="inlineStr">
        <is>
          <t>n/a</t>
        </is>
      </c>
      <c r="X80" s="6" t="inlineStr">
        <is>
          <t>BLOCKED</t>
        </is>
      </c>
      <c r="Y80" s="6" t="inlineStr">
        <is>
          <t>Lỗi API: chưa chạy</t>
        </is>
      </c>
      <c r="Z80" s="6" t="n"/>
      <c r="AA80" s="6">
        <f>IF(Z80="",X80,Z80)</f>
        <v/>
      </c>
      <c r="AB80" s="6" t="n"/>
      <c r="AC80" s="6" t="n"/>
    </row>
    <row r="81">
      <c r="A81" s="6" t="inlineStr">
        <is>
          <t>LAW_D_020</t>
        </is>
      </c>
      <c r="B81" s="6" t="inlineStr">
        <is>
          <t>Scenario-based</t>
        </is>
      </c>
      <c r="C81" s="6" t="inlineStr">
        <is>
          <t>Doanh nghiệp hỏi một tình huống vừa có dấu hiệu quan hệ lao động, thử việc và sau đó sa thải. Retrieval tối thiểu nên phủ những phần nào của cẩm nang?</t>
        </is>
      </c>
      <c r="D81" s="6" t="inlineStr">
        <is>
          <t>Ít nhất Chương I về quan hệ lao động/HĐLĐ và thử việc, cùng Chương III về xử lý kỷ luật lao động/sa thải; nếu có chấm dứt HĐLĐ ngoài kỷ luật thì cần thêm chương chấm dứt HĐLĐ.</t>
        </is>
      </c>
      <c r="E81" s="6" t="inlineStr">
        <is>
          <t>Căn cứ: phần “Chương I + II/III liên quan”, trang 5. Nội dung được tài liệu xác nhận: Ít nhất Chương I về quan hệ lao động/HĐLĐ và thử việc, cùng Chương III về xử lý kỷ luật lao động/sa thải; nếu có chấm dứt HĐLĐ ngoài kỷ luật thì cần thêm chương chấm dứt HĐLĐ.</t>
        </is>
      </c>
      <c r="F81" s="6" t="n">
        <v>5</v>
      </c>
      <c r="G81" s="6" t="inlineStr">
        <is>
          <t>Chương I + II/III liên quan</t>
        </is>
      </c>
      <c r="H81" s="6" t="inlineStr">
        <is>
          <t>quan hệ lao động | thử việc | sa thải | chấm dứt</t>
        </is>
      </c>
      <c r="I81" s="6" t="inlineStr">
        <is>
          <t>Hard</t>
        </is>
      </c>
      <c r="J81" s="6" t="inlineStr">
        <is>
          <t>Multiple Chunks</t>
        </is>
      </c>
      <c r="K81" s="6" t="inlineStr">
        <is>
          <t>Yes</t>
        </is>
      </c>
      <c r="L81" s="6" t="inlineStr">
        <is>
          <t>Answer from document</t>
        </is>
      </c>
      <c r="M81" s="6" t="n"/>
      <c r="N81" s="6" t="inlineStr">
        <is>
          <t>ILO-VCCI_Labour-Law-Guide-Book-V04-Final</t>
        </is>
      </c>
      <c r="O81" s="6" t="inlineStr"/>
      <c r="P81" s="6" t="inlineStr"/>
      <c r="Q81" s="6" t="inlineStr"/>
      <c r="R81" s="6" t="inlineStr"/>
      <c r="S81" s="6" t="n"/>
      <c r="T81" s="7" t="n"/>
      <c r="U81" s="7" t="n"/>
      <c r="V81" s="6" t="n"/>
      <c r="W81" s="6" t="inlineStr">
        <is>
          <t>n/a</t>
        </is>
      </c>
      <c r="X81" s="6" t="inlineStr">
        <is>
          <t>BLOCKED</t>
        </is>
      </c>
      <c r="Y81" s="6" t="inlineStr">
        <is>
          <t>Lỗi API: chưa chạy</t>
        </is>
      </c>
      <c r="Z81" s="6" t="n"/>
      <c r="AA81" s="6">
        <f>IF(Z81="",X81,Z81)</f>
        <v/>
      </c>
      <c r="AB81" s="6" t="n"/>
      <c r="AC81" s="6" t="n"/>
    </row>
    <row r="82">
      <c r="A82" s="6" t="inlineStr">
        <is>
          <t>LAW_E_001</t>
        </is>
      </c>
      <c r="B82" s="6" t="inlineStr">
        <is>
          <t>Direct Fact</t>
        </is>
      </c>
      <c r="C82" s="6" t="inlineStr">
        <is>
          <t>Bộ luật Lao động trong văn bản hợp nhất có hiệu lực gốc từ ngày nào?</t>
        </is>
      </c>
      <c r="D82" s="6" t="inlineStr">
        <is>
          <t>Bộ luật Lao động 45/2019/QH14 có hiệu lực từ ngày 01/01/2021.</t>
        </is>
      </c>
      <c r="E82" s="6" t="inlineStr">
        <is>
          <t>Căn cứ: phần “Phần mở đầu”, trang 1. Nội dung được tài liệu xác nhận: Bộ luật Lao động 45/2019/QH14 có hiệu lực từ ngày 01/01/2021.</t>
        </is>
      </c>
      <c r="F82" s="6" t="n">
        <v>1</v>
      </c>
      <c r="G82" s="6" t="inlineStr">
        <is>
          <t>Phần mở đầu</t>
        </is>
      </c>
      <c r="H82" s="6" t="inlineStr">
        <is>
          <t>01/01/2021 | 45/2019/QH14</t>
        </is>
      </c>
      <c r="I82" s="6" t="inlineStr">
        <is>
          <t>Easy</t>
        </is>
      </c>
      <c r="J82" s="6" t="inlineStr">
        <is>
          <t>Single Chunk</t>
        </is>
      </c>
      <c r="K82" s="6" t="inlineStr">
        <is>
          <t>Yes</t>
        </is>
      </c>
      <c r="L82" s="6" t="inlineStr">
        <is>
          <t>Answer from document</t>
        </is>
      </c>
      <c r="M82" s="6" t="n"/>
      <c r="N82" s="6" t="inlineStr">
        <is>
          <t>Văn-bản-hợp-nhất-18-VBHN-VPQH</t>
        </is>
      </c>
      <c r="O82" s="6" t="inlineStr"/>
      <c r="P82" s="6" t="inlineStr"/>
      <c r="Q82" s="6" t="inlineStr"/>
      <c r="R82" s="6" t="inlineStr"/>
      <c r="S82" s="6" t="n"/>
      <c r="T82" s="7" t="n"/>
      <c r="U82" s="7" t="n"/>
      <c r="V82" s="6" t="n"/>
      <c r="W82" s="6" t="inlineStr">
        <is>
          <t>n/a</t>
        </is>
      </c>
      <c r="X82" s="6" t="inlineStr">
        <is>
          <t>BLOCKED</t>
        </is>
      </c>
      <c r="Y82" s="6" t="inlineStr">
        <is>
          <t>Lỗi API: chưa chạy</t>
        </is>
      </c>
      <c r="Z82" s="6" t="n"/>
      <c r="AA82" s="6">
        <f>IF(Z82="",X82,Z82)</f>
        <v/>
      </c>
      <c r="AB82" s="6" t="n"/>
      <c r="AC82" s="6" t="n"/>
    </row>
    <row r="83">
      <c r="A83" s="6" t="inlineStr">
        <is>
          <t>LAW_E_002</t>
        </is>
      </c>
      <c r="B83" s="6" t="inlineStr">
        <is>
          <t>Definition</t>
        </is>
      </c>
      <c r="C83" s="6" t="inlineStr">
        <is>
          <t>Theo Điều 3, người lao động được định nghĩa như thế nào?</t>
        </is>
      </c>
      <c r="D83" s="6" t="inlineStr">
        <is>
          <t>Là người làm việc cho NSDLĐ theo thỏa thuận, được trả lương và chịu sự quản lý, điều hành, giám sát của NSDLĐ.</t>
        </is>
      </c>
      <c r="E83" s="6" t="inlineStr">
        <is>
          <t>Căn cứ: phần “Điều 3”, trang 2. Nội dung được tài liệu xác nhận: Là người làm việc cho NSDLĐ theo thỏa thuận, được trả lương và chịu sự quản lý, điều hành, giám sát của NSDLĐ.</t>
        </is>
      </c>
      <c r="F83" s="6" t="n">
        <v>2</v>
      </c>
      <c r="G83" s="6" t="inlineStr">
        <is>
          <t>Điều 3</t>
        </is>
      </c>
      <c r="H83" s="6" t="inlineStr">
        <is>
          <t>thỏa thuận | trả lương | quản lý | điều hành | giám sát</t>
        </is>
      </c>
      <c r="I83" s="6" t="inlineStr">
        <is>
          <t>Easy</t>
        </is>
      </c>
      <c r="J83" s="6" t="inlineStr">
        <is>
          <t>Single Chunk</t>
        </is>
      </c>
      <c r="K83" s="6" t="inlineStr">
        <is>
          <t>Yes</t>
        </is>
      </c>
      <c r="L83" s="6" t="inlineStr">
        <is>
          <t>Answer from document</t>
        </is>
      </c>
      <c r="M83" s="6" t="n"/>
      <c r="N83" s="6" t="inlineStr">
        <is>
          <t>Văn-bản-hợp-nhất-18-VBHN-VPQH</t>
        </is>
      </c>
      <c r="O83" s="6" t="inlineStr"/>
      <c r="P83" s="6" t="inlineStr"/>
      <c r="Q83" s="6" t="inlineStr"/>
      <c r="R83" s="6" t="inlineStr"/>
      <c r="S83" s="6" t="n"/>
      <c r="T83" s="7" t="n"/>
      <c r="U83" s="7" t="n"/>
      <c r="V83" s="6" t="n"/>
      <c r="W83" s="6" t="inlineStr">
        <is>
          <t>n/a</t>
        </is>
      </c>
      <c r="X83" s="6" t="inlineStr">
        <is>
          <t>BLOCKED</t>
        </is>
      </c>
      <c r="Y83" s="6" t="inlineStr">
        <is>
          <t>Lỗi API: chưa chạy</t>
        </is>
      </c>
      <c r="Z83" s="6" t="n"/>
      <c r="AA83" s="6">
        <f>IF(Z83="",X83,Z83)</f>
        <v/>
      </c>
      <c r="AB83" s="6" t="n"/>
      <c r="AC83" s="6" t="n"/>
    </row>
    <row r="84">
      <c r="A84" s="6" t="inlineStr">
        <is>
          <t>LAW_E_003</t>
        </is>
      </c>
      <c r="B84" s="6" t="inlineStr">
        <is>
          <t>Direct Fact</t>
        </is>
      </c>
      <c r="C84" s="6" t="inlineStr">
        <is>
          <t>Độ tuổi lao động tối thiểu theo định nghĩa chung là bao nhiêu?</t>
        </is>
      </c>
      <c r="D84" s="6" t="inlineStr">
        <is>
          <t>Đủ 15 tuổi, trừ trường hợp được quy định riêng tại Mục 1 Chương XI.</t>
        </is>
      </c>
      <c r="E84" s="6" t="inlineStr">
        <is>
          <t>Căn cứ: phần “Điều 3”, trang 2. Nội dung được tài liệu xác nhận: Đủ 15 tuổi, trừ trường hợp được quy định riêng tại Mục 1 Chương XI.</t>
        </is>
      </c>
      <c r="F84" s="6" t="n">
        <v>2</v>
      </c>
      <c r="G84" s="6" t="inlineStr">
        <is>
          <t>Điều 3</t>
        </is>
      </c>
      <c r="H84" s="6" t="inlineStr">
        <is>
          <t>đủ 15 tuổi | ngoại lệ Chương XI</t>
        </is>
      </c>
      <c r="I84" s="6" t="inlineStr">
        <is>
          <t>Easy</t>
        </is>
      </c>
      <c r="J84" s="6" t="inlineStr">
        <is>
          <t>Single Chunk</t>
        </is>
      </c>
      <c r="K84" s="6" t="inlineStr">
        <is>
          <t>Yes</t>
        </is>
      </c>
      <c r="L84" s="6" t="inlineStr">
        <is>
          <t>Answer from document</t>
        </is>
      </c>
      <c r="M84" s="6" t="n"/>
      <c r="N84" s="6" t="inlineStr">
        <is>
          <t>Văn-bản-hợp-nhất-18-VBHN-VPQH</t>
        </is>
      </c>
      <c r="O84" s="6" t="inlineStr"/>
      <c r="P84" s="6" t="inlineStr"/>
      <c r="Q84" s="6" t="inlineStr"/>
      <c r="R84" s="6" t="inlineStr"/>
      <c r="S84" s="6" t="n"/>
      <c r="T84" s="7" t="n"/>
      <c r="U84" s="7" t="n"/>
      <c r="V84" s="6" t="n"/>
      <c r="W84" s="6" t="inlineStr">
        <is>
          <t>n/a</t>
        </is>
      </c>
      <c r="X84" s="6" t="inlineStr">
        <is>
          <t>BLOCKED</t>
        </is>
      </c>
      <c r="Y84" s="6" t="inlineStr">
        <is>
          <t>Lỗi API: chưa chạy</t>
        </is>
      </c>
      <c r="Z84" s="6" t="n"/>
      <c r="AA84" s="6">
        <f>IF(Z84="",X84,Z84)</f>
        <v/>
      </c>
      <c r="AB84" s="6" t="n"/>
      <c r="AC84" s="6" t="n"/>
    </row>
    <row r="85">
      <c r="A85" s="6" t="inlineStr">
        <is>
          <t>LAW_E_004</t>
        </is>
      </c>
      <c r="B85" s="6" t="inlineStr">
        <is>
          <t>Definition</t>
        </is>
      </c>
      <c r="C85" s="6" t="inlineStr">
        <is>
          <t>Quan hệ lao động bao gồm những loại nào?</t>
        </is>
      </c>
      <c r="D85" s="6" t="inlineStr">
        <is>
          <t>Bao gồm quan hệ lao động cá nhân và quan hệ lao động tập thể.</t>
        </is>
      </c>
      <c r="E85" s="6" t="inlineStr">
        <is>
          <t>Căn cứ: phần “Điều 3”, trang None. Nội dung được tài liệu xác nhận: Bao gồm quan hệ lao động cá nhân và quan hệ lao động tập thể.</t>
        </is>
      </c>
      <c r="F85" s="6" t="n"/>
      <c r="G85" s="6" t="inlineStr">
        <is>
          <t>Điều 3</t>
        </is>
      </c>
      <c r="H85" s="6" t="inlineStr">
        <is>
          <t>cá nhân | tập thể</t>
        </is>
      </c>
      <c r="I85" s="6" t="inlineStr">
        <is>
          <t>Easy</t>
        </is>
      </c>
      <c r="J85" s="6" t="inlineStr">
        <is>
          <t>Single Chunk</t>
        </is>
      </c>
      <c r="K85" s="6" t="inlineStr">
        <is>
          <t>Yes</t>
        </is>
      </c>
      <c r="L85" s="6" t="inlineStr">
        <is>
          <t>Answer from document</t>
        </is>
      </c>
      <c r="M85" s="6" t="n"/>
      <c r="N85" s="6" t="inlineStr">
        <is>
          <t>Văn-bản-hợp-nhất-18-VBHN-VPQH</t>
        </is>
      </c>
      <c r="O85" s="6" t="inlineStr"/>
      <c r="P85" s="6" t="inlineStr"/>
      <c r="Q85" s="6" t="inlineStr"/>
      <c r="R85" s="6" t="inlineStr"/>
      <c r="S85" s="6" t="n"/>
      <c r="T85" s="7" t="n"/>
      <c r="U85" s="7" t="n"/>
      <c r="V85" s="6" t="n"/>
      <c r="W85" s="6" t="inlineStr">
        <is>
          <t>n/a</t>
        </is>
      </c>
      <c r="X85" s="6" t="inlineStr">
        <is>
          <t>BLOCKED</t>
        </is>
      </c>
      <c r="Y85" s="6" t="inlineStr">
        <is>
          <t>Lỗi API: chưa chạy</t>
        </is>
      </c>
      <c r="Z85" s="6" t="n"/>
      <c r="AA85" s="6">
        <f>IF(Z85="",X85,Z85)</f>
        <v/>
      </c>
      <c r="AB85" s="6" t="n"/>
      <c r="AC85" s="6" t="n"/>
    </row>
    <row r="86">
      <c r="A86" s="6" t="inlineStr">
        <is>
          <t>LAW_E_005</t>
        </is>
      </c>
      <c r="B86" s="6" t="inlineStr">
        <is>
          <t>Direct Fact</t>
        </is>
      </c>
      <c r="C86" s="6" t="inlineStr">
        <is>
          <t>NSDLĐ có được giữ bản chính giấy tờ tùy thân, văn bằng, chứng chỉ của NLĐ không?</t>
        </is>
      </c>
      <c r="D86" s="6" t="inlineStr">
        <is>
          <t>Không. Điều 17 cấm NSDLĐ giữ bản chính các giấy tờ này khi giao kết, thực hiện HĐLĐ.</t>
        </is>
      </c>
      <c r="E86" s="6" t="inlineStr">
        <is>
          <t>Căn cứ: phần “Điều 17”, trang 8. Nội dung được tài liệu xác nhận: Không. Điều 17 cấm NSDLĐ giữ bản chính các giấy tờ này khi giao kết, thực hiện HĐLĐ.</t>
        </is>
      </c>
      <c r="F86" s="6" t="n">
        <v>8</v>
      </c>
      <c r="G86" s="6" t="inlineStr">
        <is>
          <t>Điều 17</t>
        </is>
      </c>
      <c r="H86" s="6" t="inlineStr">
        <is>
          <t>cấm | bản chính | giấy tờ | văn bằng | chứng chỉ</t>
        </is>
      </c>
      <c r="I86" s="6" t="inlineStr">
        <is>
          <t>Easy</t>
        </is>
      </c>
      <c r="J86" s="6" t="inlineStr">
        <is>
          <t>Single Chunk</t>
        </is>
      </c>
      <c r="K86" s="6" t="inlineStr">
        <is>
          <t>Yes</t>
        </is>
      </c>
      <c r="L86" s="6" t="inlineStr">
        <is>
          <t>Answer from document</t>
        </is>
      </c>
      <c r="M86" s="6" t="n"/>
      <c r="N86" s="6" t="inlineStr">
        <is>
          <t>Văn-bản-hợp-nhất-18-VBHN-VPQH</t>
        </is>
      </c>
      <c r="O86" s="6" t="inlineStr"/>
      <c r="P86" s="6" t="inlineStr"/>
      <c r="Q86" s="6" t="inlineStr"/>
      <c r="R86" s="6" t="inlineStr"/>
      <c r="S86" s="6" t="n"/>
      <c r="T86" s="7" t="n"/>
      <c r="U86" s="7" t="n"/>
      <c r="V86" s="6" t="n"/>
      <c r="W86" s="6" t="inlineStr">
        <is>
          <t>n/a</t>
        </is>
      </c>
      <c r="X86" s="6" t="inlineStr">
        <is>
          <t>BLOCKED</t>
        </is>
      </c>
      <c r="Y86" s="6" t="inlineStr">
        <is>
          <t>Lỗi API: chưa chạy</t>
        </is>
      </c>
      <c r="Z86" s="6" t="n"/>
      <c r="AA86" s="6">
        <f>IF(Z86="",X86,Z86)</f>
        <v/>
      </c>
      <c r="AB86" s="6" t="n"/>
      <c r="AC86" s="6" t="n"/>
    </row>
    <row r="87">
      <c r="A87" s="6" t="inlineStr">
        <is>
          <t>LAW_E_006</t>
        </is>
      </c>
      <c r="B87" s="6" t="inlineStr">
        <is>
          <t>Direct Fact</t>
        </is>
      </c>
      <c r="C87" s="6" t="inlineStr">
        <is>
          <t>HĐLĐ xác định thời hạn tối đa bao nhiêu tháng theo Điều 20?</t>
        </is>
      </c>
      <c r="D87" s="6" t="inlineStr">
        <is>
          <t>Không quá 36 tháng kể từ thời điểm có hiệu lực của hợp đồng.</t>
        </is>
      </c>
      <c r="E87" s="6" t="inlineStr">
        <is>
          <t>Căn cứ: phần “Điều 20”, trang None. Nội dung được tài liệu xác nhận: Không quá 36 tháng kể từ thời điểm có hiệu lực của hợp đồng.</t>
        </is>
      </c>
      <c r="F87" s="6" t="n"/>
      <c r="G87" s="6" t="inlineStr">
        <is>
          <t>Điều 20</t>
        </is>
      </c>
      <c r="H87" s="6" t="inlineStr">
        <is>
          <t>36 tháng | HĐLĐ xác định thời hạn</t>
        </is>
      </c>
      <c r="I87" s="6" t="inlineStr">
        <is>
          <t>Easy</t>
        </is>
      </c>
      <c r="J87" s="6" t="inlineStr">
        <is>
          <t>Single Chunk</t>
        </is>
      </c>
      <c r="K87" s="6" t="inlineStr">
        <is>
          <t>Yes</t>
        </is>
      </c>
      <c r="L87" s="6" t="inlineStr">
        <is>
          <t>Answer from document</t>
        </is>
      </c>
      <c r="M87" s="6" t="n"/>
      <c r="N87" s="6" t="inlineStr">
        <is>
          <t>Văn-bản-hợp-nhất-18-VBHN-VPQH</t>
        </is>
      </c>
      <c r="O87" s="6" t="inlineStr"/>
      <c r="P87" s="6" t="inlineStr"/>
      <c r="Q87" s="6" t="inlineStr"/>
      <c r="R87" s="6" t="inlineStr"/>
      <c r="S87" s="6" t="n"/>
      <c r="T87" s="7" t="n"/>
      <c r="U87" s="7" t="n"/>
      <c r="V87" s="6" t="n"/>
      <c r="W87" s="6" t="inlineStr">
        <is>
          <t>n/a</t>
        </is>
      </c>
      <c r="X87" s="6" t="inlineStr">
        <is>
          <t>BLOCKED</t>
        </is>
      </c>
      <c r="Y87" s="6" t="inlineStr">
        <is>
          <t>Lỗi API: chưa chạy</t>
        </is>
      </c>
      <c r="Z87" s="6" t="n"/>
      <c r="AA87" s="6">
        <f>IF(Z87="",X87,Z87)</f>
        <v/>
      </c>
      <c r="AB87" s="6" t="n"/>
      <c r="AC87" s="6" t="n"/>
    </row>
    <row r="88">
      <c r="A88" s="6" t="inlineStr">
        <is>
          <t>LAW_E_007</t>
        </is>
      </c>
      <c r="B88" s="6" t="inlineStr">
        <is>
          <t>Direct Fact</t>
        </is>
      </c>
      <c r="C88" s="6" t="inlineStr">
        <is>
          <t>Có áp dụng thử việc với HĐLĐ dưới 01 tháng không?</t>
        </is>
      </c>
      <c r="D88" s="6" t="inlineStr">
        <is>
          <t>Không. Điều 24 quy định không áp dụng thử việc với NLĐ giao kết HĐLĐ có thời hạn dưới 01 tháng.</t>
        </is>
      </c>
      <c r="E88" s="6" t="inlineStr">
        <is>
          <t>Căn cứ: phần “Điều 24”, trang 11. Nội dung được tài liệu xác nhận: Không. Điều 24 quy định không áp dụng thử việc với NLĐ giao kết HĐLĐ có thời hạn dưới 01 tháng.</t>
        </is>
      </c>
      <c r="F88" s="6" t="n">
        <v>11</v>
      </c>
      <c r="G88" s="6" t="inlineStr">
        <is>
          <t>Điều 24</t>
        </is>
      </c>
      <c r="H88" s="6" t="inlineStr">
        <is>
          <t>không thử việc | dưới 01 tháng</t>
        </is>
      </c>
      <c r="I88" s="6" t="inlineStr">
        <is>
          <t>Easy</t>
        </is>
      </c>
      <c r="J88" s="6" t="inlineStr">
        <is>
          <t>Single Chunk</t>
        </is>
      </c>
      <c r="K88" s="6" t="inlineStr">
        <is>
          <t>Yes</t>
        </is>
      </c>
      <c r="L88" s="6" t="inlineStr">
        <is>
          <t>Answer from document</t>
        </is>
      </c>
      <c r="M88" s="6" t="n"/>
      <c r="N88" s="6" t="inlineStr">
        <is>
          <t>Văn-bản-hợp-nhất-18-VBHN-VPQH</t>
        </is>
      </c>
      <c r="O88" s="6" t="inlineStr"/>
      <c r="P88" s="6" t="inlineStr"/>
      <c r="Q88" s="6" t="inlineStr"/>
      <c r="R88" s="6" t="inlineStr"/>
      <c r="S88" s="6" t="n"/>
      <c r="T88" s="7" t="n"/>
      <c r="U88" s="7" t="n"/>
      <c r="V88" s="6" t="n"/>
      <c r="W88" s="6" t="inlineStr">
        <is>
          <t>n/a</t>
        </is>
      </c>
      <c r="X88" s="6" t="inlineStr">
        <is>
          <t>BLOCKED</t>
        </is>
      </c>
      <c r="Y88" s="6" t="inlineStr">
        <is>
          <t>Lỗi API: chưa chạy</t>
        </is>
      </c>
      <c r="Z88" s="6" t="n"/>
      <c r="AA88" s="6">
        <f>IF(Z88="",X88,Z88)</f>
        <v/>
      </c>
      <c r="AB88" s="6" t="n"/>
      <c r="AC88" s="6" t="n"/>
    </row>
    <row r="89">
      <c r="A89" s="6" t="inlineStr">
        <is>
          <t>LAW_E_008</t>
        </is>
      </c>
      <c r="B89" s="6" t="inlineStr">
        <is>
          <t>Rule</t>
        </is>
      </c>
      <c r="C89" s="6" t="inlineStr">
        <is>
          <t>Thời gian thử việc tối đa đối với người quản lý doanh nghiệp là bao lâu?</t>
        </is>
      </c>
      <c r="D89" s="6" t="inlineStr">
        <is>
          <t>Không quá 180 ngày.</t>
        </is>
      </c>
      <c r="E89" s="6" t="inlineStr">
        <is>
          <t>Căn cứ: phần “Điều 25”, trang 11. Nội dung được tài liệu xác nhận: Không quá 180 ngày.</t>
        </is>
      </c>
      <c r="F89" s="6" t="n">
        <v>11</v>
      </c>
      <c r="G89" s="6" t="inlineStr">
        <is>
          <t>Điều 25</t>
        </is>
      </c>
      <c r="H89" s="6" t="inlineStr">
        <is>
          <t>180 ngày | quản lý doanh nghiệp</t>
        </is>
      </c>
      <c r="I89" s="6" t="inlineStr">
        <is>
          <t>Medium</t>
        </is>
      </c>
      <c r="J89" s="6" t="inlineStr">
        <is>
          <t>Single Chunk</t>
        </is>
      </c>
      <c r="K89" s="6" t="inlineStr">
        <is>
          <t>Yes</t>
        </is>
      </c>
      <c r="L89" s="6" t="inlineStr">
        <is>
          <t>Answer from document</t>
        </is>
      </c>
      <c r="M89" s="6" t="n"/>
      <c r="N89" s="6" t="inlineStr">
        <is>
          <t>Văn-bản-hợp-nhất-18-VBHN-VPQH</t>
        </is>
      </c>
      <c r="O89" s="6" t="inlineStr"/>
      <c r="P89" s="6" t="inlineStr"/>
      <c r="Q89" s="6" t="inlineStr"/>
      <c r="R89" s="6" t="inlineStr"/>
      <c r="S89" s="6" t="n"/>
      <c r="T89" s="7" t="n"/>
      <c r="U89" s="7" t="n"/>
      <c r="V89" s="6" t="n"/>
      <c r="W89" s="6" t="inlineStr">
        <is>
          <t>n/a</t>
        </is>
      </c>
      <c r="X89" s="6" t="inlineStr">
        <is>
          <t>BLOCKED</t>
        </is>
      </c>
      <c r="Y89" s="6" t="inlineStr">
        <is>
          <t>Lỗi API: chưa chạy</t>
        </is>
      </c>
      <c r="Z89" s="6" t="n"/>
      <c r="AA89" s="6">
        <f>IF(Z89="",X89,Z89)</f>
        <v/>
      </c>
      <c r="AB89" s="6" t="n"/>
      <c r="AC89" s="6" t="n"/>
    </row>
    <row r="90">
      <c r="A90" s="6" t="inlineStr">
        <is>
          <t>LAW_E_009</t>
        </is>
      </c>
      <c r="B90" s="6" t="inlineStr">
        <is>
          <t>Rule</t>
        </is>
      </c>
      <c r="C90" s="6" t="inlineStr">
        <is>
          <t>Khi tạm thời chuyển NLĐ làm công việc khác so với HĐLĐ, thời gian tối đa thông thường là bao nhiêu?</t>
        </is>
      </c>
      <c r="D90" s="6" t="inlineStr">
        <is>
          <t>Không quá 60 ngày làm việc cộng dồn trong 01 năm, trừ trường hợp NLĐ đồng ý bằng văn bản cho thời gian dài hơn.</t>
        </is>
      </c>
      <c r="E90" s="6" t="inlineStr">
        <is>
          <t>Căn cứ: phần “Điều 29”, trang 12. Nội dung được tài liệu xác nhận: Không quá 60 ngày làm việc cộng dồn trong 01 năm, trừ trường hợp NLĐ đồng ý bằng văn bản cho thời gian dài hơn.</t>
        </is>
      </c>
      <c r="F90" s="6" t="n">
        <v>12</v>
      </c>
      <c r="G90" s="6" t="inlineStr">
        <is>
          <t>Điều 29</t>
        </is>
      </c>
      <c r="H90" s="6" t="inlineStr">
        <is>
          <t>60 ngày | cộng dồn | 01 năm</t>
        </is>
      </c>
      <c r="I90" s="6" t="inlineStr">
        <is>
          <t>Medium</t>
        </is>
      </c>
      <c r="J90" s="6" t="inlineStr">
        <is>
          <t>Single Chunk</t>
        </is>
      </c>
      <c r="K90" s="6" t="inlineStr">
        <is>
          <t>Yes</t>
        </is>
      </c>
      <c r="L90" s="6" t="inlineStr">
        <is>
          <t>Answer from document</t>
        </is>
      </c>
      <c r="M90" s="6" t="n"/>
      <c r="N90" s="6" t="inlineStr">
        <is>
          <t>Văn-bản-hợp-nhất-18-VBHN-VPQH</t>
        </is>
      </c>
      <c r="O90" s="6" t="inlineStr"/>
      <c r="P90" s="6" t="inlineStr"/>
      <c r="Q90" s="6" t="inlineStr"/>
      <c r="R90" s="6" t="inlineStr"/>
      <c r="S90" s="6" t="n"/>
      <c r="T90" s="7" t="n"/>
      <c r="U90" s="7" t="n"/>
      <c r="V90" s="6" t="n"/>
      <c r="W90" s="6" t="inlineStr">
        <is>
          <t>n/a</t>
        </is>
      </c>
      <c r="X90" s="6" t="inlineStr">
        <is>
          <t>BLOCKED</t>
        </is>
      </c>
      <c r="Y90" s="6" t="inlineStr">
        <is>
          <t>Lỗi API: chưa chạy</t>
        </is>
      </c>
      <c r="Z90" s="6" t="n"/>
      <c r="AA90" s="6">
        <f>IF(Z90="",X90,Z90)</f>
        <v/>
      </c>
      <c r="AB90" s="6" t="n"/>
      <c r="AC90" s="6" t="n"/>
    </row>
    <row r="91">
      <c r="A91" s="6" t="inlineStr">
        <is>
          <t>LAW_E_010</t>
        </is>
      </c>
      <c r="B91" s="6" t="inlineStr">
        <is>
          <t>Rule</t>
        </is>
      </c>
      <c r="C91" s="6" t="inlineStr">
        <is>
          <t>NLĐ làm HĐLĐ không xác định thời hạn muốn đơn phương chấm dứt hợp đồng thông thường phải báo trước bao lâu?</t>
        </is>
      </c>
      <c r="D91" s="6" t="inlineStr">
        <is>
          <t>Ít nhất 45 ngày, trừ các trường hợp luật cho phép không cần báo trước hoặc ngành/nghề đặc thù có quy định riêng.</t>
        </is>
      </c>
      <c r="E91" s="6" t="inlineStr">
        <is>
          <t>Căn cứ: phần “Điều 35”, trang 15. Nội dung được tài liệu xác nhận: Ít nhất 45 ngày, trừ các trường hợp luật cho phép không cần báo trước hoặc ngành/nghề đặc thù có quy định riêng.</t>
        </is>
      </c>
      <c r="F91" s="6" t="n">
        <v>15</v>
      </c>
      <c r="G91" s="6" t="inlineStr">
        <is>
          <t>Điều 35</t>
        </is>
      </c>
      <c r="H91" s="6" t="inlineStr">
        <is>
          <t>45 ngày | không xác định thời hạn | báo trước</t>
        </is>
      </c>
      <c r="I91" s="6" t="inlineStr">
        <is>
          <t>Medium</t>
        </is>
      </c>
      <c r="J91" s="6" t="inlineStr">
        <is>
          <t>Single Chunk</t>
        </is>
      </c>
      <c r="K91" s="6" t="inlineStr">
        <is>
          <t>Yes</t>
        </is>
      </c>
      <c r="L91" s="6" t="inlineStr">
        <is>
          <t>Answer from document</t>
        </is>
      </c>
      <c r="M91" s="6" t="n"/>
      <c r="N91" s="6" t="inlineStr">
        <is>
          <t>Văn-bản-hợp-nhất-18-VBHN-VPQH</t>
        </is>
      </c>
      <c r="O91" s="6" t="inlineStr"/>
      <c r="P91" s="6" t="inlineStr"/>
      <c r="Q91" s="6" t="inlineStr"/>
      <c r="R91" s="6" t="inlineStr"/>
      <c r="S91" s="6" t="n"/>
      <c r="T91" s="7" t="n"/>
      <c r="U91" s="7" t="n"/>
      <c r="V91" s="6" t="n"/>
      <c r="W91" s="6" t="inlineStr">
        <is>
          <t>n/a</t>
        </is>
      </c>
      <c r="X91" s="6" t="inlineStr">
        <is>
          <t>BLOCKED</t>
        </is>
      </c>
      <c r="Y91" s="6" t="inlineStr">
        <is>
          <t>Lỗi API: chưa chạy</t>
        </is>
      </c>
      <c r="Z91" s="6" t="n"/>
      <c r="AA91" s="6">
        <f>IF(Z91="",X91,Z91)</f>
        <v/>
      </c>
      <c r="AB91" s="6" t="n"/>
      <c r="AC91" s="6" t="n"/>
    </row>
    <row r="92">
      <c r="A92" s="6" t="inlineStr">
        <is>
          <t>LAW_E_011</t>
        </is>
      </c>
      <c r="B92" s="6" t="inlineStr">
        <is>
          <t>Rule</t>
        </is>
      </c>
      <c r="C92" s="6" t="inlineStr">
        <is>
          <t>NLĐ làm HĐLĐ xác định thời hạn từ 12 đến 36 tháng muốn nghỉ thông thường phải báo trước bao lâu?</t>
        </is>
      </c>
      <c r="D92" s="6" t="inlineStr">
        <is>
          <t>Ít nhất 30 ngày.</t>
        </is>
      </c>
      <c r="E92" s="6" t="inlineStr">
        <is>
          <t>Căn cứ: phần “Điều 35”, trang 15. Nội dung được tài liệu xác nhận: Ít nhất 30 ngày.</t>
        </is>
      </c>
      <c r="F92" s="6" t="n">
        <v>15</v>
      </c>
      <c r="G92" s="6" t="inlineStr">
        <is>
          <t>Điều 35</t>
        </is>
      </c>
      <c r="H92" s="6" t="inlineStr">
        <is>
          <t>30 ngày | 12-36 tháng | báo trước</t>
        </is>
      </c>
      <c r="I92" s="6" t="inlineStr">
        <is>
          <t>Medium</t>
        </is>
      </c>
      <c r="J92" s="6" t="inlineStr">
        <is>
          <t>Single Chunk</t>
        </is>
      </c>
      <c r="K92" s="6" t="inlineStr">
        <is>
          <t>Yes</t>
        </is>
      </c>
      <c r="L92" s="6" t="inlineStr">
        <is>
          <t>Answer from document</t>
        </is>
      </c>
      <c r="M92" s="6" t="n"/>
      <c r="N92" s="6" t="inlineStr">
        <is>
          <t>Văn-bản-hợp-nhất-18-VBHN-VPQH</t>
        </is>
      </c>
      <c r="O92" s="6" t="inlineStr"/>
      <c r="P92" s="6" t="inlineStr"/>
      <c r="Q92" s="6" t="inlineStr"/>
      <c r="R92" s="6" t="inlineStr"/>
      <c r="S92" s="6" t="n"/>
      <c r="T92" s="7" t="n"/>
      <c r="U92" s="7" t="n"/>
      <c r="V92" s="6" t="n"/>
      <c r="W92" s="6" t="inlineStr">
        <is>
          <t>n/a</t>
        </is>
      </c>
      <c r="X92" s="6" t="inlineStr">
        <is>
          <t>BLOCKED</t>
        </is>
      </c>
      <c r="Y92" s="6" t="inlineStr">
        <is>
          <t>Lỗi API: chưa chạy</t>
        </is>
      </c>
      <c r="Z92" s="6" t="n"/>
      <c r="AA92" s="6">
        <f>IF(Z92="",X92,Z92)</f>
        <v/>
      </c>
      <c r="AB92" s="6" t="n"/>
      <c r="AC92" s="6" t="n"/>
    </row>
    <row r="93">
      <c r="A93" s="6" t="inlineStr">
        <is>
          <t>LAW_E_012</t>
        </is>
      </c>
      <c r="B93" s="6" t="inlineStr">
        <is>
          <t>Rule</t>
        </is>
      </c>
      <c r="C93" s="6" t="inlineStr">
        <is>
          <t>Trợ cấp thôi việc được tính theo mức nào cho mỗi năm làm việc đủ điều kiện?</t>
        </is>
      </c>
      <c r="D93" s="6" t="inlineStr">
        <is>
          <t>Mỗi năm làm việc được trợ cấp một nửa tháng tiền lương, theo điều kiện và cách xác định thời gian của Điều 46.</t>
        </is>
      </c>
      <c r="E93" s="6" t="inlineStr">
        <is>
          <t>Căn cứ: phần “Điều 46”, trang 20. Nội dung được tài liệu xác nhận: Mỗi năm làm việc được trợ cấp một nửa tháng tiền lương, theo điều kiện và cách xác định thời gian của Điều 46.</t>
        </is>
      </c>
      <c r="F93" s="6" t="n">
        <v>20</v>
      </c>
      <c r="G93" s="6" t="inlineStr">
        <is>
          <t>Điều 46</t>
        </is>
      </c>
      <c r="H93" s="6" t="inlineStr">
        <is>
          <t>0,5 tháng lương | mỗi năm | trợ cấp thôi việc</t>
        </is>
      </c>
      <c r="I93" s="6" t="inlineStr">
        <is>
          <t>Medium</t>
        </is>
      </c>
      <c r="J93" s="6" t="inlineStr">
        <is>
          <t>Single Chunk</t>
        </is>
      </c>
      <c r="K93" s="6" t="inlineStr">
        <is>
          <t>Yes</t>
        </is>
      </c>
      <c r="L93" s="6" t="inlineStr">
        <is>
          <t>Answer from document</t>
        </is>
      </c>
      <c r="M93" s="6" t="n"/>
      <c r="N93" s="6" t="inlineStr">
        <is>
          <t>Văn-bản-hợp-nhất-18-VBHN-VPQH</t>
        </is>
      </c>
      <c r="O93" s="6" t="inlineStr"/>
      <c r="P93" s="6" t="inlineStr"/>
      <c r="Q93" s="6" t="inlineStr"/>
      <c r="R93" s="6" t="inlineStr"/>
      <c r="S93" s="6" t="n"/>
      <c r="T93" s="7" t="n"/>
      <c r="U93" s="7" t="n"/>
      <c r="V93" s="6" t="n"/>
      <c r="W93" s="6" t="inlineStr">
        <is>
          <t>n/a</t>
        </is>
      </c>
      <c r="X93" s="6" t="inlineStr">
        <is>
          <t>BLOCKED</t>
        </is>
      </c>
      <c r="Y93" s="6" t="inlineStr">
        <is>
          <t>Lỗi API: chưa chạy</t>
        </is>
      </c>
      <c r="Z93" s="6" t="n"/>
      <c r="AA93" s="6">
        <f>IF(Z93="",X93,Z93)</f>
        <v/>
      </c>
      <c r="AB93" s="6" t="n"/>
      <c r="AC93" s="6" t="n"/>
    </row>
    <row r="94">
      <c r="A94" s="6" t="inlineStr">
        <is>
          <t>LAW_E_013</t>
        </is>
      </c>
      <c r="B94" s="6" t="inlineStr">
        <is>
          <t>Rule</t>
        </is>
      </c>
      <c r="C94" s="6" t="inlineStr">
        <is>
          <t>Trợ cấp mất việc làm được tính thế nào theo Điều 47?</t>
        </is>
      </c>
      <c r="D94" s="6" t="inlineStr">
        <is>
          <t>Cứ mỗi năm làm việc trả 01 tháng tiền lương nhưng ít nhất bằng 02 tháng tiền lương, nếu thuộc trường hợp và điều kiện của Điều 47.</t>
        </is>
      </c>
      <c r="E94" s="6" t="inlineStr">
        <is>
          <t>Căn cứ: phần “Điều 47”, trang None. Nội dung được tài liệu xác nhận: Cứ mỗi năm làm việc trả 01 tháng tiền lương nhưng ít nhất bằng 02 tháng tiền lương, nếu thuộc trường hợp và điều kiện của Điều 47.</t>
        </is>
      </c>
      <c r="F94" s="6" t="n"/>
      <c r="G94" s="6" t="inlineStr">
        <is>
          <t>Điều 47</t>
        </is>
      </c>
      <c r="H94" s="6" t="inlineStr">
        <is>
          <t>1 tháng/năm | tối thiểu 2 tháng | mất việc</t>
        </is>
      </c>
      <c r="I94" s="6" t="inlineStr">
        <is>
          <t>Medium</t>
        </is>
      </c>
      <c r="J94" s="6" t="inlineStr">
        <is>
          <t>Single Chunk</t>
        </is>
      </c>
      <c r="K94" s="6" t="inlineStr">
        <is>
          <t>Yes</t>
        </is>
      </c>
      <c r="L94" s="6" t="inlineStr">
        <is>
          <t>Answer from document</t>
        </is>
      </c>
      <c r="M94" s="6" t="n"/>
      <c r="N94" s="6" t="inlineStr">
        <is>
          <t>Văn-bản-hợp-nhất-18-VBHN-VPQH</t>
        </is>
      </c>
      <c r="O94" s="6" t="inlineStr"/>
      <c r="P94" s="6" t="inlineStr"/>
      <c r="Q94" s="6" t="inlineStr"/>
      <c r="R94" s="6" t="inlineStr"/>
      <c r="S94" s="6" t="n"/>
      <c r="T94" s="7" t="n"/>
      <c r="U94" s="7" t="n"/>
      <c r="V94" s="6" t="n"/>
      <c r="W94" s="6" t="inlineStr">
        <is>
          <t>n/a</t>
        </is>
      </c>
      <c r="X94" s="6" t="inlineStr">
        <is>
          <t>BLOCKED</t>
        </is>
      </c>
      <c r="Y94" s="6" t="inlineStr">
        <is>
          <t>Lỗi API: chưa chạy</t>
        </is>
      </c>
      <c r="Z94" s="6" t="n"/>
      <c r="AA94" s="6">
        <f>IF(Z94="",X94,Z94)</f>
        <v/>
      </c>
      <c r="AB94" s="6" t="n"/>
      <c r="AC94" s="6" t="n"/>
    </row>
    <row r="95">
      <c r="A95" s="6" t="inlineStr">
        <is>
          <t>LAW_E_014</t>
        </is>
      </c>
      <c r="B95" s="6" t="inlineStr">
        <is>
          <t>Definition</t>
        </is>
      </c>
      <c r="C95" s="6" t="inlineStr">
        <is>
          <t>Tiền lương theo Điều 90 bao gồm những thành phần nào?</t>
        </is>
      </c>
      <c r="D95" s="6" t="inlineStr">
        <is>
          <t>Gồm mức lương theo công việc hoặc chức danh, phụ cấp lương và các khoản bổ sung khác.</t>
        </is>
      </c>
      <c r="E95" s="6" t="inlineStr">
        <is>
          <t>Căn cứ: phần “Điều 90”, trang 35. Nội dung được tài liệu xác nhận: Gồm mức lương theo công việc hoặc chức danh, phụ cấp lương và các khoản bổ sung khác.</t>
        </is>
      </c>
      <c r="F95" s="6" t="n">
        <v>35</v>
      </c>
      <c r="G95" s="6" t="inlineStr">
        <is>
          <t>Điều 90</t>
        </is>
      </c>
      <c r="H95" s="6" t="inlineStr">
        <is>
          <t>mức lương | phụ cấp | khoản bổ sung</t>
        </is>
      </c>
      <c r="I95" s="6" t="inlineStr">
        <is>
          <t>Medium</t>
        </is>
      </c>
      <c r="J95" s="6" t="inlineStr">
        <is>
          <t>Single Chunk</t>
        </is>
      </c>
      <c r="K95" s="6" t="inlineStr">
        <is>
          <t>Yes</t>
        </is>
      </c>
      <c r="L95" s="6" t="inlineStr">
        <is>
          <t>Answer from document</t>
        </is>
      </c>
      <c r="M95" s="6" t="n"/>
      <c r="N95" s="6" t="inlineStr">
        <is>
          <t>Văn-bản-hợp-nhất-18-VBHN-VPQH</t>
        </is>
      </c>
      <c r="O95" s="6" t="inlineStr"/>
      <c r="P95" s="6" t="inlineStr"/>
      <c r="Q95" s="6" t="inlineStr"/>
      <c r="R95" s="6" t="inlineStr"/>
      <c r="S95" s="6" t="n"/>
      <c r="T95" s="7" t="n"/>
      <c r="U95" s="7" t="n"/>
      <c r="V95" s="6" t="n"/>
      <c r="W95" s="6" t="inlineStr">
        <is>
          <t>n/a</t>
        </is>
      </c>
      <c r="X95" s="6" t="inlineStr">
        <is>
          <t>BLOCKED</t>
        </is>
      </c>
      <c r="Y95" s="6" t="inlineStr">
        <is>
          <t>Lỗi API: chưa chạy</t>
        </is>
      </c>
      <c r="Z95" s="6" t="n"/>
      <c r="AA95" s="6">
        <f>IF(Z95="",X95,Z95)</f>
        <v/>
      </c>
      <c r="AB95" s="6" t="n"/>
      <c r="AC95" s="6" t="n"/>
    </row>
    <row r="96">
      <c r="A96" s="6" t="inlineStr">
        <is>
          <t>LAW_E_015</t>
        </is>
      </c>
      <c r="B96" s="6" t="inlineStr">
        <is>
          <t>Scenario-based</t>
        </is>
      </c>
      <c r="C96" s="6" t="inlineStr">
        <is>
          <t>Một NLĐ làm thêm vào ngày nghỉ hằng tuần. Mức trả tối thiểu theo Điều 98 là bao nhiêu?</t>
        </is>
      </c>
      <c r="D96" s="6" t="inlineStr">
        <is>
          <t>Ít nhất bằng 200% đơn giá tiền lương hoặc tiền lương thực trả theo công việc đang làm.</t>
        </is>
      </c>
      <c r="E96" s="6" t="inlineStr">
        <is>
          <t>Căn cứ: phần “Điều 98”, trang 38. Nội dung được tài liệu xác nhận: Ít nhất bằng 200% đơn giá tiền lương hoặc tiền lương thực trả theo công việc đang làm.</t>
        </is>
      </c>
      <c r="F96" s="6" t="n">
        <v>38</v>
      </c>
      <c r="G96" s="6" t="inlineStr">
        <is>
          <t>Điều 98</t>
        </is>
      </c>
      <c r="H96" s="6" t="inlineStr">
        <is>
          <t>200% | ngày nghỉ hằng tuần</t>
        </is>
      </c>
      <c r="I96" s="6" t="inlineStr">
        <is>
          <t>Hard</t>
        </is>
      </c>
      <c r="J96" s="6" t="inlineStr">
        <is>
          <t>Single Chunk</t>
        </is>
      </c>
      <c r="K96" s="6" t="inlineStr">
        <is>
          <t>Yes</t>
        </is>
      </c>
      <c r="L96" s="6" t="inlineStr">
        <is>
          <t>Answer from document</t>
        </is>
      </c>
      <c r="M96" s="6" t="n"/>
      <c r="N96" s="6" t="inlineStr">
        <is>
          <t>Văn-bản-hợp-nhất-18-VBHN-VPQH</t>
        </is>
      </c>
      <c r="O96" s="6" t="inlineStr"/>
      <c r="P96" s="6" t="inlineStr"/>
      <c r="Q96" s="6" t="inlineStr"/>
      <c r="R96" s="6" t="inlineStr"/>
      <c r="S96" s="6" t="n"/>
      <c r="T96" s="7" t="n"/>
      <c r="U96" s="7" t="n"/>
      <c r="V96" s="6" t="n"/>
      <c r="W96" s="6" t="inlineStr">
        <is>
          <t>n/a</t>
        </is>
      </c>
      <c r="X96" s="6" t="inlineStr">
        <is>
          <t>BLOCKED</t>
        </is>
      </c>
      <c r="Y96" s="6" t="inlineStr">
        <is>
          <t>Lỗi API: chưa chạy</t>
        </is>
      </c>
      <c r="Z96" s="6" t="n"/>
      <c r="AA96" s="6">
        <f>IF(Z96="",X96,Z96)</f>
        <v/>
      </c>
      <c r="AB96" s="6" t="n"/>
      <c r="AC96" s="6" t="n"/>
    </row>
    <row r="97">
      <c r="A97" s="6" t="inlineStr">
        <is>
          <t>LAW_E_016</t>
        </is>
      </c>
      <c r="B97" s="6" t="inlineStr">
        <is>
          <t>Scenario-based</t>
        </is>
      </c>
      <c r="C97" s="6" t="inlineStr">
        <is>
          <t>Một NLĐ làm thêm vào ngày lễ, tết. Điều 98 quy định mức tối thiểu nào?</t>
        </is>
      </c>
      <c r="D97" s="6" t="inlineStr">
        <is>
          <t>Ít nhất bằng 300%, chưa kể tiền lương ngày lễ, tết/ngày nghỉ có hưởng lương đối với NLĐ hưởng lương ngày.</t>
        </is>
      </c>
      <c r="E97" s="6" t="inlineStr">
        <is>
          <t>Căn cứ: phần “Điều 98”, trang 38. Nội dung được tài liệu xác nhận: Ít nhất bằng 300%, chưa kể tiền lương ngày lễ, tết/ngày nghỉ có hưởng lương đối với NLĐ hưởng lương ngày.</t>
        </is>
      </c>
      <c r="F97" s="6" t="n">
        <v>38</v>
      </c>
      <c r="G97" s="6" t="inlineStr">
        <is>
          <t>Điều 98</t>
        </is>
      </c>
      <c r="H97" s="6" t="inlineStr">
        <is>
          <t>300% | lễ tết | chưa kể tiền lương ngày lễ</t>
        </is>
      </c>
      <c r="I97" s="6" t="inlineStr">
        <is>
          <t>Hard</t>
        </is>
      </c>
      <c r="J97" s="6" t="inlineStr">
        <is>
          <t>Single Chunk</t>
        </is>
      </c>
      <c r="K97" s="6" t="inlineStr">
        <is>
          <t>Yes</t>
        </is>
      </c>
      <c r="L97" s="6" t="inlineStr">
        <is>
          <t>Answer from document</t>
        </is>
      </c>
      <c r="M97" s="6" t="n"/>
      <c r="N97" s="6" t="inlineStr">
        <is>
          <t>Văn-bản-hợp-nhất-18-VBHN-VPQH</t>
        </is>
      </c>
      <c r="O97" s="6" t="inlineStr"/>
      <c r="P97" s="6" t="inlineStr"/>
      <c r="Q97" s="6" t="inlineStr"/>
      <c r="R97" s="6" t="inlineStr"/>
      <c r="S97" s="6" t="n"/>
      <c r="T97" s="7" t="n"/>
      <c r="U97" s="7" t="n"/>
      <c r="V97" s="6" t="n"/>
      <c r="W97" s="6" t="inlineStr">
        <is>
          <t>n/a</t>
        </is>
      </c>
      <c r="X97" s="6" t="inlineStr">
        <is>
          <t>BLOCKED</t>
        </is>
      </c>
      <c r="Y97" s="6" t="inlineStr">
        <is>
          <t>Lỗi API: chưa chạy</t>
        </is>
      </c>
      <c r="Z97" s="6" t="n"/>
      <c r="AA97" s="6">
        <f>IF(Z97="",X97,Z97)</f>
        <v/>
      </c>
      <c r="AB97" s="6" t="n"/>
      <c r="AC97" s="6" t="n"/>
    </row>
    <row r="98">
      <c r="A98" s="6" t="inlineStr">
        <is>
          <t>LAW_E_017</t>
        </is>
      </c>
      <c r="B98" s="6" t="inlineStr">
        <is>
          <t>Multi-hop</t>
        </is>
      </c>
      <c r="C98" s="6" t="inlineStr">
        <is>
          <t>Doanh nghiệp bố trí 10 giờ/ngày theo tuần. Điều này có thể phù hợp không và giới hạn tuần là bao nhiêu?</t>
        </is>
      </c>
      <c r="D98" s="6" t="inlineStr">
        <is>
          <t>Có thể, nếu NSDLĐ quy định thời giờ làm việc theo tuần và thông báo cho NLĐ; khi đó thời giờ bình thường không quá 10 giờ/ngày và không quá 48 giờ/tuần.</t>
        </is>
      </c>
      <c r="E98" s="6" t="inlineStr">
        <is>
          <t>Căn cứ: phần “Điều 105”, trang 40. Nội dung được tài liệu xác nhận: Có thể, nếu NSDLĐ quy định thời giờ làm việc theo tuần và thông báo cho NLĐ; khi đó thời giờ bình thường không quá 10 giờ/ngày và không quá 48 giờ/tuần.</t>
        </is>
      </c>
      <c r="F98" s="6" t="n">
        <v>40</v>
      </c>
      <c r="G98" s="6" t="inlineStr">
        <is>
          <t>Điều 105</t>
        </is>
      </c>
      <c r="H98" s="6" t="inlineStr">
        <is>
          <t>10 giờ/ngày | 48 giờ/tuần | theo tuần</t>
        </is>
      </c>
      <c r="I98" s="6" t="inlineStr">
        <is>
          <t>Hard</t>
        </is>
      </c>
      <c r="J98" s="6" t="inlineStr">
        <is>
          <t>Multiple Chunks</t>
        </is>
      </c>
      <c r="K98" s="6" t="inlineStr">
        <is>
          <t>Yes</t>
        </is>
      </c>
      <c r="L98" s="6" t="inlineStr">
        <is>
          <t>Answer from document</t>
        </is>
      </c>
      <c r="M98" s="6" t="n"/>
      <c r="N98" s="6" t="inlineStr">
        <is>
          <t>Văn-bản-hợp-nhất-18-VBHN-VPQH</t>
        </is>
      </c>
      <c r="O98" s="6" t="inlineStr"/>
      <c r="P98" s="6" t="inlineStr"/>
      <c r="Q98" s="6" t="inlineStr"/>
      <c r="R98" s="6" t="inlineStr"/>
      <c r="S98" s="6" t="n"/>
      <c r="T98" s="7" t="n"/>
      <c r="U98" s="7" t="n"/>
      <c r="V98" s="6" t="n"/>
      <c r="W98" s="6" t="inlineStr">
        <is>
          <t>n/a</t>
        </is>
      </c>
      <c r="X98" s="6" t="inlineStr">
        <is>
          <t>BLOCKED</t>
        </is>
      </c>
      <c r="Y98" s="6" t="inlineStr">
        <is>
          <t>Lỗi API: chưa chạy</t>
        </is>
      </c>
      <c r="Z98" s="6" t="n"/>
      <c r="AA98" s="6">
        <f>IF(Z98="",X98,Z98)</f>
        <v/>
      </c>
      <c r="AB98" s="6" t="n"/>
      <c r="AC98" s="6" t="n"/>
    </row>
    <row r="99">
      <c r="A99" s="6" t="inlineStr">
        <is>
          <t>LAW_E_018</t>
        </is>
      </c>
      <c r="B99" s="6" t="inlineStr">
        <is>
          <t>Multi-hop</t>
        </is>
      </c>
      <c r="C99" s="6" t="inlineStr">
        <is>
          <t>Một NLĐ làm đủ 12 tháng hỏi về nghỉ hằng năm. RAG cần căn cứ điều nào và yếu tố nào để xác định số ngày nghỉ?</t>
        </is>
      </c>
      <c r="D99" s="6" t="inlineStr">
        <is>
          <t>Căn cứ Điều 113. Số ngày nghỉ hưởng nguyên lương phụ thuộc nhóm điều kiện/công việc của NLĐ theo các mức được điều này quy định.</t>
        </is>
      </c>
      <c r="E99" s="6" t="inlineStr">
        <is>
          <t>Căn cứ: phần “Điều 113”, trang 42. Nội dung được tài liệu xác nhận: Căn cứ Điều 113. Số ngày nghỉ hưởng nguyên lương phụ thuộc nhóm điều kiện/công việc của NLĐ theo các mức được điều này quy định.</t>
        </is>
      </c>
      <c r="F99" s="6" t="n">
        <v>42</v>
      </c>
      <c r="G99" s="6" t="inlineStr">
        <is>
          <t>Điều 113</t>
        </is>
      </c>
      <c r="H99" s="6" t="inlineStr">
        <is>
          <t>12 tháng | nghỉ hằng năm | hưởng nguyên lương</t>
        </is>
      </c>
      <c r="I99" s="6" t="inlineStr">
        <is>
          <t>Hard</t>
        </is>
      </c>
      <c r="J99" s="6" t="inlineStr">
        <is>
          <t>Single Chunk</t>
        </is>
      </c>
      <c r="K99" s="6" t="inlineStr">
        <is>
          <t>Yes</t>
        </is>
      </c>
      <c r="L99" s="6" t="inlineStr">
        <is>
          <t>Answer from document</t>
        </is>
      </c>
      <c r="M99" s="6" t="n"/>
      <c r="N99" s="6" t="inlineStr">
        <is>
          <t>Văn-bản-hợp-nhất-18-VBHN-VPQH</t>
        </is>
      </c>
      <c r="O99" s="6" t="inlineStr"/>
      <c r="P99" s="6" t="inlineStr"/>
      <c r="Q99" s="6" t="inlineStr"/>
      <c r="R99" s="6" t="inlineStr"/>
      <c r="S99" s="6" t="n"/>
      <c r="T99" s="7" t="n"/>
      <c r="U99" s="7" t="n"/>
      <c r="V99" s="6" t="n"/>
      <c r="W99" s="6" t="inlineStr">
        <is>
          <t>n/a</t>
        </is>
      </c>
      <c r="X99" s="6" t="inlineStr">
        <is>
          <t>BLOCKED</t>
        </is>
      </c>
      <c r="Y99" s="6" t="inlineStr">
        <is>
          <t>Lỗi API: chưa chạy</t>
        </is>
      </c>
      <c r="Z99" s="6" t="n"/>
      <c r="AA99" s="6">
        <f>IF(Z99="",X99,Z99)</f>
        <v/>
      </c>
      <c r="AB99" s="6" t="n"/>
      <c r="AC99" s="6" t="n"/>
    </row>
    <row r="100">
      <c r="A100" s="6" t="inlineStr">
        <is>
          <t>LAW_E_019</t>
        </is>
      </c>
      <c r="B100" s="6" t="inlineStr">
        <is>
          <t>Procedure</t>
        </is>
      </c>
      <c r="C100" s="6" t="inlineStr">
        <is>
          <t>Khi xử lý kỷ luật lao động, NSDLĐ phải bảo đảm những nguyên tắc tố tụng cơ bản nào?</t>
        </is>
      </c>
      <c r="D100" s="6" t="inlineStr">
        <is>
          <t>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is>
      </c>
      <c r="E100" s="6" t="inlineStr">
        <is>
          <t>Căn cứ: phần “Điều 122”, trang 46. Nội dung được tài liệu xác nhận: 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is>
      </c>
      <c r="F100" s="6" t="n">
        <v>46</v>
      </c>
      <c r="G100" s="6" t="inlineStr">
        <is>
          <t>Điều 122</t>
        </is>
      </c>
      <c r="H100" s="6" t="inlineStr">
        <is>
          <t>chứng minh lỗi | tổ chức đại diện | tự bào chữa | biên bản</t>
        </is>
      </c>
      <c r="I100" s="6" t="inlineStr">
        <is>
          <t>Hard</t>
        </is>
      </c>
      <c r="J100" s="6" t="inlineStr">
        <is>
          <t>Multiple Chunks</t>
        </is>
      </c>
      <c r="K100" s="6" t="inlineStr">
        <is>
          <t>Yes</t>
        </is>
      </c>
      <c r="L100" s="6" t="inlineStr">
        <is>
          <t>Answer from document</t>
        </is>
      </c>
      <c r="M100" s="6" t="n"/>
      <c r="N100" s="6" t="inlineStr">
        <is>
          <t>Văn-bản-hợp-nhất-18-VBHN-VPQH</t>
        </is>
      </c>
      <c r="O100" s="6" t="inlineStr"/>
      <c r="P100" s="6" t="inlineStr"/>
      <c r="Q100" s="6" t="inlineStr"/>
      <c r="R100" s="6" t="inlineStr"/>
      <c r="S100" s="6" t="n"/>
      <c r="T100" s="7" t="n"/>
      <c r="U100" s="7" t="n"/>
      <c r="V100" s="6" t="n"/>
      <c r="W100" s="6" t="inlineStr">
        <is>
          <t>n/a</t>
        </is>
      </c>
      <c r="X100" s="6" t="inlineStr">
        <is>
          <t>BLOCKED</t>
        </is>
      </c>
      <c r="Y100" s="6" t="inlineStr">
        <is>
          <t>Lỗi API: chưa chạy</t>
        </is>
      </c>
      <c r="Z100" s="6" t="n"/>
      <c r="AA100" s="6">
        <f>IF(Z100="",X100,Z100)</f>
        <v/>
      </c>
      <c r="AB100" s="6" t="n"/>
      <c r="AC100" s="6" t="n"/>
    </row>
    <row r="101">
      <c r="A101" s="6" t="inlineStr">
        <is>
          <t>LAW_E_020</t>
        </is>
      </c>
      <c r="B101" s="6" t="inlineStr">
        <is>
          <t>Scenario-based</t>
        </is>
      </c>
      <c r="C101" s="6" t="inlineStr">
        <is>
          <t>NLĐ trộm cắp hoặc sử dụng ma túy tại nơi làm việc có thể bị áp dụng hình thức kỷ luật nào theo Điều 125?</t>
        </is>
      </c>
      <c r="D101" s="6" t="inlineStr">
        <is>
          <t>Có thể bị áp dụng hình thức xử lý kỷ luật sa thải theo các trường hợp Điều 125 quy định.</t>
        </is>
      </c>
      <c r="E101" s="6" t="inlineStr">
        <is>
          <t>Căn cứ: phần “Điều 125”, trang 47. Nội dung được tài liệu xác nhận: Có thể bị áp dụng hình thức xử lý kỷ luật sa thải theo các trường hợp Điều 125 quy định.</t>
        </is>
      </c>
      <c r="F101" s="6" t="n">
        <v>47</v>
      </c>
      <c r="G101" s="6" t="inlineStr">
        <is>
          <t>Điều 125</t>
        </is>
      </c>
      <c r="H101" s="6" t="inlineStr">
        <is>
          <t>trộm cắp | ma túy | sa thải</t>
        </is>
      </c>
      <c r="I101" s="6" t="inlineStr">
        <is>
          <t>Hard</t>
        </is>
      </c>
      <c r="J101" s="6" t="inlineStr">
        <is>
          <t>Single Chunk</t>
        </is>
      </c>
      <c r="K101" s="6" t="inlineStr">
        <is>
          <t>Yes</t>
        </is>
      </c>
      <c r="L101" s="6" t="inlineStr">
        <is>
          <t>Answer from document</t>
        </is>
      </c>
      <c r="M101" s="6" t="n"/>
      <c r="N101" s="6" t="inlineStr">
        <is>
          <t>Văn-bản-hợp-nhất-18-VBHN-VPQH</t>
        </is>
      </c>
      <c r="O101" s="6" t="inlineStr"/>
      <c r="P101" s="6" t="inlineStr"/>
      <c r="Q101" s="6" t="inlineStr"/>
      <c r="R101" s="6" t="inlineStr"/>
      <c r="S101" s="6" t="n"/>
      <c r="T101" s="7" t="n"/>
      <c r="U101" s="7" t="n"/>
      <c r="V101" s="6" t="n"/>
      <c r="W101" s="6" t="inlineStr">
        <is>
          <t>n/a</t>
        </is>
      </c>
      <c r="X101" s="6" t="inlineStr">
        <is>
          <t>BLOCKED</t>
        </is>
      </c>
      <c r="Y101" s="6" t="inlineStr">
        <is>
          <t>Lỗi API: chưa chạy</t>
        </is>
      </c>
      <c r="Z101" s="6" t="n"/>
      <c r="AA101" s="6">
        <f>IF(Z101="",X101,Z101)</f>
        <v/>
      </c>
      <c r="AB101" s="6" t="n"/>
      <c r="AC101" s="6" t="n"/>
    </row>
  </sheetData>
  <autoFilter ref="A1:AC101"/>
  <conditionalFormatting sqref="X2:X101">
    <cfRule type="cellIs" priority="1" operator="equal" dxfId="0">
      <formula>"PASS"</formula>
    </cfRule>
    <cfRule type="cellIs" priority="2" operator="equal" dxfId="1">
      <formula>"PARTIAL"</formula>
    </cfRule>
    <cfRule type="cellIs" priority="3" operator="equal" dxfId="2">
      <formula>"FAIL"</formula>
    </cfRule>
    <cfRule type="cellIs" priority="4" operator="equal" dxfId="3">
      <formula>"BLOCKED"</formula>
    </cfRule>
  </conditionalFormatting>
  <conditionalFormatting sqref="Z2:Z101">
    <cfRule type="cellIs" priority="5" operator="equal" dxfId="0">
      <formula>"PASS"</formula>
    </cfRule>
    <cfRule type="cellIs" priority="6" operator="equal" dxfId="1">
      <formula>"PARTIAL"</formula>
    </cfRule>
    <cfRule type="cellIs" priority="7" operator="equal" dxfId="2">
      <formula>"FAIL"</formula>
    </cfRule>
    <cfRule type="cellIs" priority="8" operator="equal" dxfId="3">
      <formula>"BLOCKED"</formula>
    </cfRule>
  </conditionalFormatting>
  <conditionalFormatting sqref="AA2:AA101">
    <cfRule type="cellIs" priority="9" operator="equal" dxfId="0">
      <formula>"PASS"</formula>
    </cfRule>
    <cfRule type="cellIs" priority="10" operator="equal" dxfId="1">
      <formula>"PARTIAL"</formula>
    </cfRule>
    <cfRule type="cellIs" priority="11" operator="equal" dxfId="2">
      <formula>"FAIL"</formula>
    </cfRule>
    <cfRule type="cellIs" priority="12" operator="equal" dxfId="3">
      <formula>"BLOCKED"</formula>
    </cfRule>
  </conditionalFormatting>
  <dataValidations count="1">
    <dataValidation sqref="Z2:Z101" showDropDown="0" showInputMessage="0" showErrorMessage="0" allowBlank="1" type="list">
      <formula1>"PASS,PARTIAL,FAIL,BLOCKED"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36" customWidth="1" min="2" max="2"/>
    <col width="60" customWidth="1" min="11" max="11"/>
  </cols>
  <sheetData>
    <row r="1">
      <c r="A1" s="2" t="inlineStr">
        <is>
          <t>ID</t>
        </is>
      </c>
      <c r="B1" s="2" t="inlineStr">
        <is>
          <t>Document</t>
        </is>
      </c>
      <c r="C1" s="2" t="inlineStr">
        <is>
          <t>Category</t>
        </is>
      </c>
      <c r="D1" s="2" t="inlineStr">
        <is>
          <t>Difficulty</t>
        </is>
      </c>
      <c r="E1" s="2" t="inlineStr">
        <is>
          <t>Doc@1</t>
        </is>
      </c>
      <c r="F1" s="2" t="inlineStr">
        <is>
          <t>Doc@5</t>
        </is>
      </c>
      <c r="G1" s="2" t="inlineStr">
        <is>
          <t>Page@5 (±1)</t>
        </is>
      </c>
      <c r="H1" s="2" t="inlineStr">
        <is>
          <t>Keyword coverage (top 5)</t>
        </is>
      </c>
      <c r="I1" s="2" t="inlineStr">
        <is>
          <t>Best rerank</t>
        </is>
      </c>
      <c r="J1" s="2" t="inlineStr">
        <is>
          <t>Refused (&lt; threshold)</t>
        </is>
      </c>
      <c r="K1" s="2" t="inlineStr">
        <is>
          <t>Top sources</t>
        </is>
      </c>
    </row>
    <row r="2">
      <c r="A2" t="inlineStr">
        <is>
          <t>LAW_A_001</t>
        </is>
      </c>
      <c r="B2" t="inlineStr">
        <is>
          <t>giao trinh Luat lao dong CB 2005 (1)</t>
        </is>
      </c>
      <c r="C2" t="inlineStr">
        <is>
          <t>Definition</t>
        </is>
      </c>
      <c r="D2" t="inlineStr">
        <is>
          <t>Easy</t>
        </is>
      </c>
      <c r="E2" t="n">
        <v>1</v>
      </c>
      <c r="F2" t="n">
        <v>1</v>
      </c>
      <c r="G2" t="b">
        <v>1</v>
      </c>
      <c r="H2" t="n">
        <v>1</v>
      </c>
      <c r="I2" t="n">
        <v>0.9984</v>
      </c>
      <c r="J2" t="n">
        <v>0</v>
      </c>
      <c r="K2" t="inlineStr">
        <is>
          <t>giao trinh Luat lao dong CB 2005 (1) tr.3-3 (0.9984)
giao trinh Luat lao dong CB 2005 (1) tr.7-7 (0.9587)
giao trinh Luat lao dong CB 2005 (1) tr.7-7 (0.9279)
giao trinh Luat lao dong CB 2005 (1) tr.3-4 (0.8305)
giao trinh Luat lao dong CB 2005 (1) tr.6-6 (0.8054)</t>
        </is>
      </c>
    </row>
    <row r="3">
      <c r="A3" t="inlineStr">
        <is>
          <t>LAW_A_002</t>
        </is>
      </c>
      <c r="B3" t="inlineStr">
        <is>
          <t>giao trinh Luat lao dong CB 2005 (1)</t>
        </is>
      </c>
      <c r="C3" t="inlineStr">
        <is>
          <t>Definition</t>
        </is>
      </c>
      <c r="D3" t="inlineStr">
        <is>
          <t>Easy</t>
        </is>
      </c>
      <c r="E3" t="n">
        <v>1</v>
      </c>
      <c r="F3" t="n">
        <v>1</v>
      </c>
      <c r="G3" t="b">
        <v>1</v>
      </c>
      <c r="H3" t="n">
        <v>1</v>
      </c>
      <c r="I3" t="n">
        <v>0.9737</v>
      </c>
      <c r="J3" t="n">
        <v>0</v>
      </c>
      <c r="K3" t="inlineStr">
        <is>
          <t>giao trinh Luat lao dong CB 2005 (1) tr.13-13 (0.9737)
giao trinh Luat lao dong CB 2005 (1) tr.3-3 (0.8655)
giao trinh Luat lao dong CB 2005 (1) tr.3-3 (0.8496)
luu-ban-nhap-tu-dong-3-4 tr.69-70 (0.8055)
luu-ban-nhap-tu-dong-3-4 tr.72-72 (0.7175)</t>
        </is>
      </c>
    </row>
    <row r="4">
      <c r="A4" t="inlineStr">
        <is>
          <t>LAW_A_003</t>
        </is>
      </c>
      <c r="B4" t="inlineStr">
        <is>
          <t>giao trinh Luat lao dong CB 2005 (1)</t>
        </is>
      </c>
      <c r="C4" t="inlineStr">
        <is>
          <t>List</t>
        </is>
      </c>
      <c r="D4" t="inlineStr">
        <is>
          <t>Easy</t>
        </is>
      </c>
      <c r="E4" t="n">
        <v>1</v>
      </c>
      <c r="F4" t="n">
        <v>1</v>
      </c>
      <c r="G4" t="b">
        <v>1</v>
      </c>
      <c r="H4" t="n">
        <v>0.8571428571428571</v>
      </c>
      <c r="I4" t="n">
        <v>0.9891</v>
      </c>
      <c r="J4" t="n">
        <v>0</v>
      </c>
      <c r="K4" t="inlineStr">
        <is>
          <t>giao trinh Luat lao dong CB 2005 (1) tr.4-5 (0.9891)
giao trinh Luat lao dong CB 2005 (1) tr.13-13 (0.9326)
giao trinh Luat lao dong CB 2005 (1) tr.3-3 (0.9083)
luu-ban-nhap-tu-dong-3-4 tr.72-72 (0.8941)
giao trinh Luat lao dong CB 2005 (1) tr.3-3 (0.891)</t>
        </is>
      </c>
    </row>
    <row r="5">
      <c r="A5" t="inlineStr">
        <is>
          <t>LAW_A_004</t>
        </is>
      </c>
      <c r="B5" t="inlineStr">
        <is>
          <t>giao trinh Luat lao dong CB 2005 (1)</t>
        </is>
      </c>
      <c r="C5" t="inlineStr">
        <is>
          <t>Definition</t>
        </is>
      </c>
      <c r="D5" t="inlineStr">
        <is>
          <t>Easy</t>
        </is>
      </c>
      <c r="E5" t="n">
        <v>1</v>
      </c>
      <c r="F5" t="n">
        <v>1</v>
      </c>
      <c r="G5" t="b">
        <v>1</v>
      </c>
      <c r="H5" t="n">
        <v>1</v>
      </c>
      <c r="I5" t="n">
        <v>0.9936</v>
      </c>
      <c r="J5" t="n">
        <v>0</v>
      </c>
      <c r="K5" t="inlineStr">
        <is>
          <t>giao trinh Luat lao dong CB 2005 (1) tr.13-13 (0.9936)
giao trinh Luat lao dong CB 2005 (1) tr.14-14 (0.9835)
giao trinh Luat lao dong CB 2005 (1) tr.14-15 (0.9708)
giao trinh Luat lao dong CB 2005 (1) tr.14-14 (0.9608)
giao trinh Luat lao dong CB 2005 (1) tr.18-18 (0.9575)</t>
        </is>
      </c>
    </row>
    <row r="6">
      <c r="A6" t="inlineStr">
        <is>
          <t>LAW_A_005</t>
        </is>
      </c>
      <c r="B6" t="inlineStr">
        <is>
          <t>giao trinh Luat lao dong CB 2005 (1)</t>
        </is>
      </c>
      <c r="C6" t="inlineStr">
        <is>
          <t>Direct Fact</t>
        </is>
      </c>
      <c r="D6" t="inlineStr">
        <is>
          <t>Easy</t>
        </is>
      </c>
      <c r="E6" t="n">
        <v>1</v>
      </c>
      <c r="F6" t="n">
        <v>1</v>
      </c>
      <c r="G6" t="b">
        <v>1</v>
      </c>
      <c r="H6" t="n">
        <v>0.6666666666666666</v>
      </c>
      <c r="I6" t="n">
        <v>0.9905</v>
      </c>
      <c r="J6" t="n">
        <v>0</v>
      </c>
      <c r="K6" t="inlineStr">
        <is>
          <t>giao trinh Luat lao dong CB 2005 (1) tr.5-5 (0.9905)
giao trinh Luat lao dong CB 2005 (1) tr.4-5 (0.5222)</t>
        </is>
      </c>
    </row>
    <row r="7">
      <c r="A7" t="inlineStr">
        <is>
          <t>LAW_A_006</t>
        </is>
      </c>
      <c r="B7" t="inlineStr">
        <is>
          <t>giao trinh Luat lao dong CB 2005 (1)</t>
        </is>
      </c>
      <c r="C7" t="inlineStr">
        <is>
          <t>Concept</t>
        </is>
      </c>
      <c r="D7" t="inlineStr">
        <is>
          <t>Easy</t>
        </is>
      </c>
      <c r="E7" t="n">
        <v>1</v>
      </c>
      <c r="F7" t="n">
        <v>1</v>
      </c>
      <c r="G7" t="b">
        <v>1</v>
      </c>
      <c r="H7" t="n">
        <v>1</v>
      </c>
      <c r="I7" t="n">
        <v>0.8816000000000001</v>
      </c>
      <c r="J7" t="n">
        <v>0</v>
      </c>
      <c r="K7" t="inlineStr">
        <is>
          <t>giao trinh Luat lao dong CB 2005 (1) tr.5-5 (0.8816)
giao trinh Luat lao dong CB 2005 (1) tr.5-6 (0.4338)</t>
        </is>
      </c>
    </row>
    <row r="8">
      <c r="A8" t="inlineStr">
        <is>
          <t>LAW_A_007</t>
        </is>
      </c>
      <c r="B8" t="inlineStr">
        <is>
          <t>giao trinh Luat lao dong CB 2005 (1)</t>
        </is>
      </c>
      <c r="C8" t="inlineStr">
        <is>
          <t>Definition</t>
        </is>
      </c>
      <c r="D8" t="inlineStr">
        <is>
          <t>Easy</t>
        </is>
      </c>
      <c r="E8" t="n">
        <v>1</v>
      </c>
      <c r="F8" t="n">
        <v>1</v>
      </c>
      <c r="H8" t="n">
        <v>0.5</v>
      </c>
      <c r="I8" t="n">
        <v>0.7146</v>
      </c>
      <c r="J8" t="n">
        <v>0</v>
      </c>
      <c r="K8" t="inlineStr">
        <is>
          <t>giao trinh Luat lao dong CB 2005 (1) tr.13-13 (0.7146)
giao trinh Luat lao dong CB 2005 (1) tr.58-58 (0.4023)
luu-ban-nhap-tu-dong-3-4 tr.31-31 (0.3612)</t>
        </is>
      </c>
    </row>
    <row r="9">
      <c r="A9" t="inlineStr">
        <is>
          <t>LAW_A_008</t>
        </is>
      </c>
      <c r="B9" t="inlineStr">
        <is>
          <t>giao trinh Luat lao dong CB 2005 (1)</t>
        </is>
      </c>
      <c r="C9" t="inlineStr">
        <is>
          <t>Direct Fact</t>
        </is>
      </c>
      <c r="D9" t="inlineStr">
        <is>
          <t>Medium</t>
        </is>
      </c>
      <c r="E9" t="n">
        <v>0</v>
      </c>
      <c r="F9" t="n">
        <v>1</v>
      </c>
      <c r="G9" t="b">
        <v>1</v>
      </c>
      <c r="H9" t="n">
        <v>1</v>
      </c>
      <c r="I9" t="n">
        <v>0.9585</v>
      </c>
      <c r="J9" t="n">
        <v>0</v>
      </c>
      <c r="K9" t="inlineStr">
        <is>
          <t>so-tay-kien-thuc-phap-luat-lao-dong-cdi tr.19-19 (0.9585)
giao trinh Luat lao dong CB 2005 (1) tr.59-59 (0.9547)
Văn-bản-hợp-nhất-18-VBHN-VPQH tr.38-38 (0.9278)
ILO-VCCI_Labour-Law-Guide-Book-V04-Final tr.100-100 (0.9243)
giao trinh Luat lao dong CB 2005 (1) tr.80-80 (0.8973)</t>
        </is>
      </c>
    </row>
    <row r="10">
      <c r="A10" t="inlineStr">
        <is>
          <t>LAW_A_009</t>
        </is>
      </c>
      <c r="B10" t="inlineStr">
        <is>
          <t>giao trinh Luat lao dong CB 2005 (1)</t>
        </is>
      </c>
      <c r="C10" t="inlineStr">
        <is>
          <t>Direct Fact</t>
        </is>
      </c>
      <c r="D10" t="inlineStr">
        <is>
          <t>Medium</t>
        </is>
      </c>
      <c r="E10" t="n">
        <v>0</v>
      </c>
      <c r="F10" t="n">
        <v>1</v>
      </c>
      <c r="G10" t="b">
        <v>1</v>
      </c>
      <c r="H10" t="n">
        <v>1</v>
      </c>
      <c r="I10" t="n">
        <v>0.9454</v>
      </c>
      <c r="J10" t="n">
        <v>0</v>
      </c>
      <c r="K10" t="inlineStr">
        <is>
          <t>so-tay-kien-thuc-phap-luat-lao-dong-cdi tr.19-19 (0.9454)
Văn-bản-hợp-nhất-18-VBHN-VPQH tr.38-38 (0.9207)
ILO-VCCI_Labour-Law-Guide-Book-V04-Final tr.100-100 (0.9207)
giao trinh Luat lao dong CB 2005 (1) tr.59-59 (0.9096)
giao trinh Luat lao dong CB 2005 (1) tr.80-80 (0.8598)</t>
        </is>
      </c>
    </row>
    <row r="11">
      <c r="A11" t="inlineStr">
        <is>
          <t>LAW_A_010</t>
        </is>
      </c>
      <c r="B11" t="inlineStr">
        <is>
          <t>giao trinh Luat lao dong CB 2005 (1)</t>
        </is>
      </c>
      <c r="C11" t="inlineStr">
        <is>
          <t>Direct Fact</t>
        </is>
      </c>
      <c r="D11" t="inlineStr">
        <is>
          <t>Medium</t>
        </is>
      </c>
      <c r="E11" t="n">
        <v>0</v>
      </c>
      <c r="F11" t="n">
        <v>1</v>
      </c>
      <c r="G11" t="b">
        <v>1</v>
      </c>
      <c r="H11" t="n">
        <v>0.6666666666666666</v>
      </c>
      <c r="I11" t="n">
        <v>0.9537</v>
      </c>
      <c r="J11" t="n">
        <v>0</v>
      </c>
      <c r="K11" t="inlineStr">
        <is>
          <t>so-tay-kien-thuc-phap-luat-lao-dong-cdi tr.19-19 (0.9537)
giao trinh Luat lao dong CB 2005 (1) tr.59-59 (0.9412)
Văn-bản-hợp-nhất-18-VBHN-VPQH tr.38-38 (0.9356)
luu-ban-nhap-tu-dong-3-4 tr.424-424 (0.9305)
ILO-VCCI_Labour-Law-Guide-Book-V04-Final tr.100-100 (0.9082)</t>
        </is>
      </c>
    </row>
    <row r="12">
      <c r="A12" t="inlineStr">
        <is>
          <t>LAW_A_011</t>
        </is>
      </c>
      <c r="B12" t="inlineStr">
        <is>
          <t>giao trinh Luat lao dong CB 2005 (1)</t>
        </is>
      </c>
      <c r="C12" t="inlineStr">
        <is>
          <t>Rule</t>
        </is>
      </c>
      <c r="D12" t="inlineStr">
        <is>
          <t>Medium</t>
        </is>
      </c>
      <c r="E12" t="n">
        <v>0</v>
      </c>
      <c r="F12" t="n">
        <v>0</v>
      </c>
      <c r="G12" t="b">
        <v>0</v>
      </c>
      <c r="H12" t="n">
        <v>0</v>
      </c>
      <c r="I12" t="n">
        <v>0.6783</v>
      </c>
      <c r="J12" t="n">
        <v>0</v>
      </c>
      <c r="K12" t="inlineStr">
        <is>
          <t>ILO-VCCI_Labour-Law-Guide-Book-V04-Final tr.112-112 (0.6783)
ILO-VCCI_Labour-Law-Guide-Book-V04-Final tr.112-113 (0.4942)
luu-ban-nhap-tu-dong-3-4 tr.101-101 (0.4728)
ILO-VCCI_Labour-Law-Guide-Book-V04-Final tr.111-111 (0.436)
Văn-bản-hợp-nhất-18-VBHN-VPQH tr.40-41 (0.3987)</t>
        </is>
      </c>
    </row>
    <row r="13">
      <c r="A13" t="inlineStr">
        <is>
          <t>LAW_A_012</t>
        </is>
      </c>
      <c r="B13" t="inlineStr">
        <is>
          <t>giao trinh Luat lao dong CB 2005 (1)</t>
        </is>
      </c>
      <c r="C13" t="inlineStr">
        <is>
          <t>Concept</t>
        </is>
      </c>
      <c r="D13" t="inlineStr">
        <is>
          <t>Medium</t>
        </is>
      </c>
      <c r="E13" t="n">
        <v>1</v>
      </c>
      <c r="F13" t="n">
        <v>1</v>
      </c>
      <c r="H13" t="n">
        <v>1</v>
      </c>
      <c r="I13" t="n">
        <v>0.9808</v>
      </c>
      <c r="J13" t="n">
        <v>0</v>
      </c>
      <c r="K13" t="inlineStr">
        <is>
          <t>giao trinh Luat lao dong CB 2005 (1) tr.7-8 (0.9808)
giao trinh Luat lao dong CB 2005 (1) tr.7-7 (0.9449)
giao trinh Luat lao dong CB 2005 (1) tr.49-50 (0.3944)</t>
        </is>
      </c>
    </row>
    <row r="14">
      <c r="A14" t="inlineStr">
        <is>
          <t>LAW_A_013</t>
        </is>
      </c>
      <c r="B14" t="inlineStr">
        <is>
          <t>giao trinh Luat lao dong CB 2005 (1)</t>
        </is>
      </c>
      <c r="C14" t="inlineStr">
        <is>
          <t>Comparison</t>
        </is>
      </c>
      <c r="D14" t="inlineStr">
        <is>
          <t>Medium</t>
        </is>
      </c>
      <c r="E14" t="n">
        <v>1</v>
      </c>
      <c r="F14" t="n">
        <v>1</v>
      </c>
      <c r="H14" t="n">
        <v>0.75</v>
      </c>
      <c r="I14" t="n">
        <v>0.9941</v>
      </c>
      <c r="J14" t="n">
        <v>0</v>
      </c>
      <c r="K14" t="inlineStr">
        <is>
          <t>giao trinh Luat lao dong CB 2005 (1) tr.7-8 (0.9941)
giao trinh Luat lao dong CB 2005 (1) tr.7-7 (0.8212)</t>
        </is>
      </c>
    </row>
    <row r="15">
      <c r="A15" t="inlineStr">
        <is>
          <t>LAW_A_014</t>
        </is>
      </c>
      <c r="B15" t="inlineStr">
        <is>
          <t>giao trinh Luat lao dong CB 2005 (1)</t>
        </is>
      </c>
      <c r="C15" t="inlineStr">
        <is>
          <t>Concept</t>
        </is>
      </c>
      <c r="D15" t="inlineStr">
        <is>
          <t>Medium</t>
        </is>
      </c>
      <c r="E15" t="n">
        <v>1</v>
      </c>
      <c r="F15" t="n">
        <v>1</v>
      </c>
      <c r="G15" t="b">
        <v>1</v>
      </c>
      <c r="H15" t="n">
        <v>1</v>
      </c>
      <c r="I15" t="n">
        <v>0.9278999999999999</v>
      </c>
      <c r="J15" t="n">
        <v>0</v>
      </c>
      <c r="K15" t="inlineStr">
        <is>
          <t>giao trinh Luat lao dong CB 2005 (1) tr.5-5 (0.9279)
giao trinh Luat lao dong CB 2005 (1) tr.5-6 (0.8897)
giao trinh Luat lao dong CB 2005 (1) tr.95-96 (0.5862)
luu-ban-nhap-tu-dong-3-4 tr.41-41 (0.411)</t>
        </is>
      </c>
    </row>
    <row r="16">
      <c r="A16" t="inlineStr">
        <is>
          <t>LAW_A_015</t>
        </is>
      </c>
      <c r="B16" t="inlineStr">
        <is>
          <t>giao trinh Luat lao dong CB 2005 (1)</t>
        </is>
      </c>
      <c r="C16" t="inlineStr">
        <is>
          <t>Scenario-based</t>
        </is>
      </c>
      <c r="D16" t="inlineStr">
        <is>
          <t>Hard</t>
        </is>
      </c>
      <c r="E16" t="n">
        <v>1</v>
      </c>
      <c r="F16" t="n">
        <v>1</v>
      </c>
      <c r="G16" t="b">
        <v>1</v>
      </c>
      <c r="H16" t="n">
        <v>1</v>
      </c>
      <c r="I16" t="n">
        <v>0.9491000000000001</v>
      </c>
      <c r="J16" t="n">
        <v>0</v>
      </c>
      <c r="K16" t="inlineStr">
        <is>
          <t>giao trinh Luat lao dong CB 2005 (1) tr.5-6 (0.9491)
giao trinh Luat lao dong CB 2005 (1) tr.5-5 (0.8208)
giao trinh Luat lao dong CB 2005 (1) tr.95-96 (0.6305)
ILO-VCCI_Labour-Law-Guide-Book-V04-Final tr.10-10 (0.5306)
giao trinh Luat lao dong CB 2005 (1) tr.95-95 (0.422)</t>
        </is>
      </c>
    </row>
    <row r="17">
      <c r="A17" t="inlineStr">
        <is>
          <t>LAW_A_016</t>
        </is>
      </c>
      <c r="B17" t="inlineStr">
        <is>
          <t>giao trinh Luat lao dong CB 2005 (1)</t>
        </is>
      </c>
      <c r="C17" t="inlineStr">
        <is>
          <t>Scenario-based</t>
        </is>
      </c>
      <c r="D17" t="inlineStr">
        <is>
          <t>Hard</t>
        </is>
      </c>
      <c r="E17" t="n">
        <v>1</v>
      </c>
      <c r="F17" t="n">
        <v>1</v>
      </c>
      <c r="G17" t="b">
        <v>1</v>
      </c>
      <c r="H17" t="n">
        <v>0</v>
      </c>
      <c r="I17" t="n">
        <v>0.9622000000000001</v>
      </c>
      <c r="J17" t="n">
        <v>0</v>
      </c>
      <c r="K17" t="inlineStr">
        <is>
          <t>giao trinh Luat lao dong CB 2005 (1) tr.3-3 (0.9622)
giao trinh Luat lao dong CB 2005 (1) tr.3-4 (0.6522)
luu-ban-nhap-tu-dong-3-4 tr.73-73 (0.5572)</t>
        </is>
      </c>
    </row>
    <row r="18">
      <c r="A18" t="inlineStr">
        <is>
          <t>LAW_A_017</t>
        </is>
      </c>
      <c r="B18" t="inlineStr">
        <is>
          <t>giao trinh Luat lao dong CB 2005 (1)</t>
        </is>
      </c>
      <c r="C18" t="inlineStr">
        <is>
          <t>Multi-hop</t>
        </is>
      </c>
      <c r="D18" t="inlineStr">
        <is>
          <t>Hard</t>
        </is>
      </c>
      <c r="E18" t="n">
        <v>1</v>
      </c>
      <c r="F18" t="n">
        <v>1</v>
      </c>
      <c r="G18" t="b">
        <v>0</v>
      </c>
      <c r="H18" t="n">
        <v>0</v>
      </c>
      <c r="I18" t="n">
        <v>0.5369</v>
      </c>
      <c r="J18" t="n">
        <v>0</v>
      </c>
      <c r="K18" t="inlineStr">
        <is>
          <t>giao trinh Luat lao dong CB 2005 (1) tr.7-8 (0.5369)
giao trinh Luat lao dong CB 2005 (1) tr.7-7 (0.4546)
giao trinh Luat lao dong CB 2005 (1) tr.182-182 (0.4193)</t>
        </is>
      </c>
    </row>
    <row r="19">
      <c r="A19" t="inlineStr">
        <is>
          <t>LAW_A_018</t>
        </is>
      </c>
      <c r="B19" t="inlineStr">
        <is>
          <t>giao trinh Luat lao dong CB 2005 (1)</t>
        </is>
      </c>
      <c r="C19" t="inlineStr">
        <is>
          <t>Multi-hop</t>
        </is>
      </c>
      <c r="D19" t="inlineStr">
        <is>
          <t>Hard</t>
        </is>
      </c>
      <c r="E19" t="n">
        <v>1</v>
      </c>
      <c r="F19" t="n">
        <v>1</v>
      </c>
      <c r="G19" t="b">
        <v>1</v>
      </c>
      <c r="H19" t="n">
        <v>0.8</v>
      </c>
      <c r="I19" t="n">
        <v>0.9696</v>
      </c>
      <c r="J19" t="n">
        <v>0</v>
      </c>
      <c r="K19" t="inlineStr">
        <is>
          <t>giao trinh Luat lao dong CB 2005 (1) tr.6-6 (0.9696)
giao trinh Luat lao dong CB 2005 (1) tr.13-13 (0.7965)
luu-ban-nhap-tu-dong-3-4 tr.60-60 (0.6755)
Văn-bản-hợp-nhất-18-VBHN-VPQH tr.76-76 (0.6727)
luu-ban-nhap-tu-dong-3-4 tr.133-133 (0.5837)</t>
        </is>
      </c>
    </row>
    <row r="20">
      <c r="A20" t="inlineStr">
        <is>
          <t>LAW_A_019</t>
        </is>
      </c>
      <c r="B20" t="inlineStr">
        <is>
          <t>giao trinh Luat lao dong CB 2005 (1)</t>
        </is>
      </c>
      <c r="C20" t="inlineStr">
        <is>
          <t>Source-awareness</t>
        </is>
      </c>
      <c r="D20" t="inlineStr">
        <is>
          <t>Hard</t>
        </is>
      </c>
      <c r="E20" t="n">
        <v>0</v>
      </c>
      <c r="F20" t="n">
        <v>0</v>
      </c>
      <c r="G20" t="b">
        <v>0</v>
      </c>
      <c r="H20" t="n">
        <v>0</v>
      </c>
      <c r="I20" t="n">
        <v>0</v>
      </c>
      <c r="J20" t="n">
        <v>1</v>
      </c>
      <c r="K20" t="inlineStr"/>
    </row>
    <row r="21">
      <c r="A21" t="inlineStr">
        <is>
          <t>LAW_A_020</t>
        </is>
      </c>
      <c r="B21" t="inlineStr">
        <is>
          <t>giao trinh Luat lao dong CB 2005 (1)</t>
        </is>
      </c>
      <c r="C21" t="inlineStr">
        <is>
          <t>Synthesis</t>
        </is>
      </c>
      <c r="D21" t="inlineStr">
        <is>
          <t>Hard</t>
        </is>
      </c>
      <c r="E21" t="n">
        <v>1</v>
      </c>
      <c r="F21" t="n">
        <v>1</v>
      </c>
      <c r="H21" t="n">
        <v>0.6666666666666666</v>
      </c>
      <c r="I21" t="n">
        <v>0.9641999999999999</v>
      </c>
      <c r="J21" t="n">
        <v>0</v>
      </c>
      <c r="K21" t="inlineStr">
        <is>
          <t>giao trinh Luat lao dong CB 2005 (1) tr.3-3 (0.9642)
giao trinh Luat lao dong CB 2005 (1) tr.3-4 (0.9122)
giao trinh Luat lao dong CB 2005 (1) tr.4-5 (0.8773)
giao trinh Luat lao dong CB 2005 (1) tr.13-13 (0.8155)
giao trinh Luat lao dong CB 2005 (1) tr.3-3 (0.7594)</t>
        </is>
      </c>
    </row>
    <row r="22">
      <c r="A22" t="inlineStr">
        <is>
          <t>LAW_B_001</t>
        </is>
      </c>
      <c r="B22" t="inlineStr">
        <is>
          <t>so-tay-kien-thuc-phap-luat-lao-dong-cdi</t>
        </is>
      </c>
      <c r="C22" t="inlineStr">
        <is>
          <t>Direct Fact</t>
        </is>
      </c>
      <c r="D22" t="inlineStr">
        <is>
          <t>Easy</t>
        </is>
      </c>
      <c r="E22" t="n">
        <v>1</v>
      </c>
      <c r="F22" t="n">
        <v>1</v>
      </c>
      <c r="G22" t="b">
        <v>1</v>
      </c>
      <c r="H22" t="n">
        <v>1</v>
      </c>
      <c r="I22" t="n">
        <v>0.9907</v>
      </c>
      <c r="J22" t="n">
        <v>0</v>
      </c>
      <c r="K22" t="inlineStr">
        <is>
          <t>so-tay-kien-thuc-phap-luat-lao-dong-cdi tr.11-11 (0.9907)
so-tay-kien-thuc-phap-luat-lao-dong-cdi tr.49-49 (0.9852)
Văn-bản-hợp-nhất-18-VBHN-VPQH tr.7-7 (0.9647)
giao trinh Luat lao dong CB 2005 (1) tr.36-36 (0.9553)
so-tay-kien-thuc-phap-luat-lao-dong-cdi tr.6-6 (0.7975)</t>
        </is>
      </c>
    </row>
    <row r="23">
      <c r="A23" t="inlineStr">
        <is>
          <t>LAW_B_002</t>
        </is>
      </c>
      <c r="B23" t="inlineStr">
        <is>
          <t>so-tay-kien-thuc-phap-luat-lao-dong-cdi</t>
        </is>
      </c>
      <c r="C23" t="inlineStr">
        <is>
          <t>Concept</t>
        </is>
      </c>
      <c r="D23" t="inlineStr">
        <is>
          <t>Easy</t>
        </is>
      </c>
      <c r="E23" t="n">
        <v>1</v>
      </c>
      <c r="F23" t="n">
        <v>1</v>
      </c>
      <c r="H23" t="n">
        <v>0.6666666666666666</v>
      </c>
      <c r="I23" t="n">
        <v>0.466</v>
      </c>
      <c r="J23" t="n">
        <v>0</v>
      </c>
      <c r="K23" t="inlineStr">
        <is>
          <t>so-tay-kien-thuc-phap-luat-lao-dong-cdi tr.12-12 (0.466)</t>
        </is>
      </c>
    </row>
    <row r="24">
      <c r="A24" t="inlineStr">
        <is>
          <t>LAW_B_003</t>
        </is>
      </c>
      <c r="B24" t="inlineStr">
        <is>
          <t>so-tay-kien-thuc-phap-luat-lao-dong-cdi</t>
        </is>
      </c>
      <c r="C24" t="inlineStr">
        <is>
          <t>Direct Fact</t>
        </is>
      </c>
      <c r="D24" t="inlineStr">
        <is>
          <t>Easy</t>
        </is>
      </c>
      <c r="E24" t="n">
        <v>0</v>
      </c>
      <c r="F24" t="n">
        <v>1</v>
      </c>
      <c r="G24" t="b">
        <v>0</v>
      </c>
      <c r="H24" t="n">
        <v>1</v>
      </c>
      <c r="I24" t="n">
        <v>0.8821</v>
      </c>
      <c r="J24" t="n">
        <v>0</v>
      </c>
      <c r="K24" t="inlineStr">
        <is>
          <t>ILO-VCCI_Labour-Law-Guide-Book-V04-Final tr.18-18 (0.8821)
ILO-VCCI_Labour-Law-Guide-Book-V04-Final tr.19-19 (0.8691)
Văn-bản-hợp-nhất-18-VBHN-VPQH tr.9-9 (0.8088)
so-tay-kien-thuc-phap-luat-lao-dong-cdi tr.13-13 (0.8098)
luu-ban-nhap-tu-dong-3-4 tr.76-76 (0.7937)</t>
        </is>
      </c>
    </row>
    <row r="25">
      <c r="A25" t="inlineStr">
        <is>
          <t>LAW_B_004</t>
        </is>
      </c>
      <c r="B25" t="inlineStr">
        <is>
          <t>so-tay-kien-thuc-phap-luat-lao-dong-cdi</t>
        </is>
      </c>
      <c r="C25" t="inlineStr">
        <is>
          <t>Direct Fact</t>
        </is>
      </c>
      <c r="D25" t="inlineStr">
        <is>
          <t>Easy</t>
        </is>
      </c>
      <c r="E25" t="n">
        <v>0</v>
      </c>
      <c r="F25" t="n">
        <v>0</v>
      </c>
      <c r="G25" t="b">
        <v>0</v>
      </c>
      <c r="H25" t="n">
        <v>1</v>
      </c>
      <c r="I25" t="n">
        <v>0.4688</v>
      </c>
      <c r="J25" t="n">
        <v>0</v>
      </c>
      <c r="K25" t="inlineStr">
        <is>
          <t>luu-ban-nhap-tu-dong-3-4 tr.77-77 (0.4688)
Văn-bản-hợp-nhất-18-VBHN-VPQH tr.11-11 (0.3633)
ILO-VCCI_Labour-Law-Guide-Book-V04-Final tr.14-14 (0.4043)</t>
        </is>
      </c>
    </row>
    <row r="26">
      <c r="A26" t="inlineStr">
        <is>
          <t>LAW_B_005</t>
        </is>
      </c>
      <c r="B26" t="inlineStr">
        <is>
          <t>so-tay-kien-thuc-phap-luat-lao-dong-cdi</t>
        </is>
      </c>
      <c r="C26" t="inlineStr">
        <is>
          <t>Direct Fact</t>
        </is>
      </c>
      <c r="D26" t="inlineStr">
        <is>
          <t>Easy</t>
        </is>
      </c>
      <c r="E26" t="n">
        <v>1</v>
      </c>
      <c r="F26" t="n">
        <v>1</v>
      </c>
      <c r="G26" t="b">
        <v>0</v>
      </c>
      <c r="H26" t="n">
        <v>1</v>
      </c>
      <c r="I26" t="n">
        <v>0.8177</v>
      </c>
      <c r="J26" t="n">
        <v>0</v>
      </c>
      <c r="K26" t="inlineStr">
        <is>
          <t>so-tay-kien-thuc-phap-luat-lao-dong-cdi tr.17-19 (0.8177)
giao trinh Luat lao dong CB 2005 (1) tr.59-59 (0.7052)
ILO-VCCI_Labour-Law-Guide-Book-V04-Final tr.100-100 (0.5308)
ILO-VCCI_Labour-Law-Guide-Book-V04-Final tr.100-100 (0.5054)
ILO-VCCI_Labour-Law-Guide-Book-V04-Final tr.99-99 (0.4686)</t>
        </is>
      </c>
    </row>
    <row r="27">
      <c r="A27" t="inlineStr">
        <is>
          <t>LAW_B_006</t>
        </is>
      </c>
      <c r="B27" t="inlineStr">
        <is>
          <t>so-tay-kien-thuc-phap-luat-lao-dong-cdi</t>
        </is>
      </c>
      <c r="C27" t="inlineStr">
        <is>
          <t>Direct Fact</t>
        </is>
      </c>
      <c r="D27" t="inlineStr">
        <is>
          <t>Easy</t>
        </is>
      </c>
      <c r="E27" t="n">
        <v>0</v>
      </c>
      <c r="F27" t="n">
        <v>0</v>
      </c>
      <c r="G27" t="b">
        <v>0</v>
      </c>
      <c r="H27" t="n">
        <v>0</v>
      </c>
      <c r="I27" t="n">
        <v>0</v>
      </c>
      <c r="J27" t="n">
        <v>1</v>
      </c>
      <c r="K27" t="inlineStr"/>
    </row>
    <row r="28">
      <c r="A28" t="inlineStr">
        <is>
          <t>LAW_B_007</t>
        </is>
      </c>
      <c r="B28" t="inlineStr">
        <is>
          <t>so-tay-kien-thuc-phap-luat-lao-dong-cdi</t>
        </is>
      </c>
      <c r="C28" t="inlineStr">
        <is>
          <t>Direct Fact</t>
        </is>
      </c>
      <c r="D28" t="inlineStr">
        <is>
          <t>Easy</t>
        </is>
      </c>
      <c r="E28" t="n">
        <v>0</v>
      </c>
      <c r="F28" t="n">
        <v>0</v>
      </c>
      <c r="G28" t="b">
        <v>0</v>
      </c>
      <c r="H28" t="n">
        <v>0.6666666666666666</v>
      </c>
      <c r="I28" t="n">
        <v>0.8539</v>
      </c>
      <c r="J28" t="n">
        <v>0</v>
      </c>
      <c r="K28" t="inlineStr">
        <is>
          <t>giao trinh Luat lao dong CB 2005 (1) tr.112-112 (0.8539)
luu-ban-nhap-tu-dong-3-4 tr.142-142 (0.7808)
luu-ban-nhap-tu-dong-3-4 tr.112-112 (0.7273)
giao trinh Luat lao dong CB 2005 (1) tr.113-113 (0.6928)
luu-ban-nhap-tu-dong-3-4 tr.161-161 (0.6555)</t>
        </is>
      </c>
    </row>
    <row r="29">
      <c r="A29" t="inlineStr">
        <is>
          <t>LAW_B_008</t>
        </is>
      </c>
      <c r="B29" t="inlineStr">
        <is>
          <t>so-tay-kien-thuc-phap-luat-lao-dong-cdi</t>
        </is>
      </c>
      <c r="C29" t="inlineStr">
        <is>
          <t>Scenario-based</t>
        </is>
      </c>
      <c r="D29" t="inlineStr">
        <is>
          <t>Medium</t>
        </is>
      </c>
      <c r="E29" t="n">
        <v>1</v>
      </c>
      <c r="F29" t="n">
        <v>1</v>
      </c>
      <c r="H29" t="n">
        <v>0.6666666666666666</v>
      </c>
      <c r="I29" t="n">
        <v>0.9955000000000001</v>
      </c>
      <c r="J29" t="n">
        <v>0</v>
      </c>
      <c r="K29" t="inlineStr">
        <is>
          <t>so-tay-kien-thuc-phap-luat-lao-dong-cdi tr.11-11 (0.9955)
so-tay-kien-thuc-phap-luat-lao-dong-cdi tr.11-11 (0.9942)
giao trinh Luat lao dong CB 2005 (1) tr.36-36 (0.7948)
luu-ban-nhap-tu-dong-3-4 tr.74-74 (0.6229)
so-tay-kien-thuc-phap-luat-lao-dong-cdi tr.49-49 (0.5987)</t>
        </is>
      </c>
    </row>
    <row r="30">
      <c r="A30" t="inlineStr">
        <is>
          <t>LAW_B_009</t>
        </is>
      </c>
      <c r="B30" t="inlineStr">
        <is>
          <t>so-tay-kien-thuc-phap-luat-lao-dong-cdi</t>
        </is>
      </c>
      <c r="C30" t="inlineStr">
        <is>
          <t>Concept</t>
        </is>
      </c>
      <c r="D30" t="inlineStr">
        <is>
          <t>Medium</t>
        </is>
      </c>
      <c r="E30" t="n">
        <v>1</v>
      </c>
      <c r="F30" t="n">
        <v>1</v>
      </c>
      <c r="H30" t="n">
        <v>0.6666666666666666</v>
      </c>
      <c r="I30" t="n">
        <v>0.9626</v>
      </c>
      <c r="J30" t="n">
        <v>0</v>
      </c>
      <c r="K30" t="inlineStr">
        <is>
          <t>so-tay-kien-thuc-phap-luat-lao-dong-cdi tr.11-12 (0.9626)
giao trinh Luat lao dong CB 2005 (1) tr.33-33 (0.8156)
giao trinh Luat lao dong CB 2005 (1) tr.51-52 (0.553)
giao trinh Luat lao dong CB 2005 (1) tr.49-50 (0.4473)
giao trinh Luat lao dong CB 2005 (1) tr.193-193 (0.3644)</t>
        </is>
      </c>
    </row>
    <row r="31">
      <c r="A31" t="inlineStr">
        <is>
          <t>LAW_B_010</t>
        </is>
      </c>
      <c r="B31" t="inlineStr">
        <is>
          <t>so-tay-kien-thuc-phap-luat-lao-dong-cdi</t>
        </is>
      </c>
      <c r="C31" t="inlineStr">
        <is>
          <t>Navigation</t>
        </is>
      </c>
      <c r="D31" t="inlineStr">
        <is>
          <t>Medium</t>
        </is>
      </c>
      <c r="E31" t="n">
        <v>1</v>
      </c>
      <c r="F31" t="n">
        <v>1</v>
      </c>
      <c r="G31" t="b">
        <v>0</v>
      </c>
      <c r="H31" t="n">
        <v>0.3333333333333333</v>
      </c>
      <c r="I31" t="n">
        <v>0.3578</v>
      </c>
      <c r="J31" t="n">
        <v>0</v>
      </c>
      <c r="K31" t="inlineStr">
        <is>
          <t>so-tay-kien-thuc-phap-luat-lao-dong-cdi tr.49-49 (0.3578)</t>
        </is>
      </c>
    </row>
    <row r="32">
      <c r="A32" t="inlineStr">
        <is>
          <t>LAW_B_011</t>
        </is>
      </c>
      <c r="B32" t="inlineStr">
        <is>
          <t>so-tay-kien-thuc-phap-luat-lao-dong-cdi</t>
        </is>
      </c>
      <c r="C32" t="inlineStr">
        <is>
          <t>Navigation</t>
        </is>
      </c>
      <c r="D32" t="inlineStr">
        <is>
          <t>Medium</t>
        </is>
      </c>
      <c r="E32" t="n">
        <v>0</v>
      </c>
      <c r="F32" t="n">
        <v>0</v>
      </c>
      <c r="G32" t="b">
        <v>0</v>
      </c>
      <c r="H32" t="n">
        <v>0.6666666666666666</v>
      </c>
      <c r="I32" t="n">
        <v>0.4017</v>
      </c>
      <c r="J32" t="n">
        <v>0</v>
      </c>
      <c r="K32" t="inlineStr">
        <is>
          <t>Văn-bản-hợp-nhất-18-VBHN-VPQH tr.76-76 (0.4017)
giao trinh Luat lao dong CB 2005 (1) tr.206-207 (0.393)</t>
        </is>
      </c>
    </row>
    <row r="33">
      <c r="A33" t="inlineStr">
        <is>
          <t>LAW_B_012</t>
        </is>
      </c>
      <c r="B33" t="inlineStr">
        <is>
          <t>so-tay-kien-thuc-phap-luat-lao-dong-cdi</t>
        </is>
      </c>
      <c r="C33" t="inlineStr">
        <is>
          <t>Navigation</t>
        </is>
      </c>
      <c r="D33" t="inlineStr">
        <is>
          <t>Medium</t>
        </is>
      </c>
      <c r="E33" t="n">
        <v>1</v>
      </c>
      <c r="F33" t="n">
        <v>1</v>
      </c>
      <c r="G33" t="b">
        <v>0</v>
      </c>
      <c r="H33" t="n">
        <v>1</v>
      </c>
      <c r="I33" t="n">
        <v>0.8872</v>
      </c>
      <c r="J33" t="n">
        <v>0</v>
      </c>
      <c r="K33" t="inlineStr">
        <is>
          <t>so-tay-kien-thuc-phap-luat-lao-dong-cdi tr.37-39 (0.8872)
luu-ban-nhap-tu-dong-3-4 tr.439-440 (0.6854)
luu-ban-nhap-tu-dong-3-4 tr.116-116 (0.6805)
luu-ban-nhap-tu-dong-3-4 tr.231-231 (0.5607)
Văn-bản-hợp-nhất-18-VBHN-VPQH tr.52-52 (0.5334)</t>
        </is>
      </c>
    </row>
    <row r="34">
      <c r="A34" t="inlineStr">
        <is>
          <t>LAW_B_013</t>
        </is>
      </c>
      <c r="B34" t="inlineStr">
        <is>
          <t>so-tay-kien-thuc-phap-luat-lao-dong-cdi</t>
        </is>
      </c>
      <c r="C34" t="inlineStr">
        <is>
          <t>Navigation</t>
        </is>
      </c>
      <c r="D34" t="inlineStr">
        <is>
          <t>Medium</t>
        </is>
      </c>
      <c r="E34" t="n">
        <v>0</v>
      </c>
      <c r="F34" t="n">
        <v>1</v>
      </c>
      <c r="G34" t="b">
        <v>0</v>
      </c>
      <c r="H34" t="n">
        <v>0.5</v>
      </c>
      <c r="I34" t="n">
        <v>0.9530999999999999</v>
      </c>
      <c r="J34" t="n">
        <v>0</v>
      </c>
      <c r="K34" t="inlineStr">
        <is>
          <t>ILO-VCCI_Labour-Law-Guide-Book-V04-Final tr.47-47 (0.9531)
ILO-VCCI_Labour-Law-Guide-Book-V04-Final tr.46-47 (0.9454)
so-tay-kien-thuc-phap-luat-lao-dong-cdi tr.34-34 (0.7922)
ILO-VCCI_Labour-Law-Guide-Book-V04-Final tr.6-6 (0.7576)
luu-ban-nhap-tu-dong-3-4 tr.429-429 (0.6692)</t>
        </is>
      </c>
    </row>
    <row r="35">
      <c r="A35" t="inlineStr">
        <is>
          <t>LAW_B_014</t>
        </is>
      </c>
      <c r="B35" t="inlineStr">
        <is>
          <t>so-tay-kien-thuc-phap-luat-lao-dong-cdi</t>
        </is>
      </c>
      <c r="C35" t="inlineStr">
        <is>
          <t>Navigation</t>
        </is>
      </c>
      <c r="D35" t="inlineStr">
        <is>
          <t>Medium</t>
        </is>
      </c>
      <c r="E35" t="n">
        <v>0</v>
      </c>
      <c r="F35" t="n">
        <v>0</v>
      </c>
      <c r="G35" t="b">
        <v>0</v>
      </c>
      <c r="H35" t="n">
        <v>0</v>
      </c>
      <c r="I35" t="n">
        <v>0</v>
      </c>
      <c r="J35" t="n">
        <v>1</v>
      </c>
      <c r="K35" t="inlineStr"/>
    </row>
    <row r="36">
      <c r="A36" t="inlineStr">
        <is>
          <t>LAW_B_015</t>
        </is>
      </c>
      <c r="B36" t="inlineStr">
        <is>
          <t>so-tay-kien-thuc-phap-luat-lao-dong-cdi</t>
        </is>
      </c>
      <c r="C36" t="inlineStr">
        <is>
          <t>Multi-hop</t>
        </is>
      </c>
      <c r="D36" t="inlineStr">
        <is>
          <t>Hard</t>
        </is>
      </c>
      <c r="E36" t="n">
        <v>0</v>
      </c>
      <c r="F36" t="n">
        <v>0</v>
      </c>
      <c r="G36" t="b">
        <v>0</v>
      </c>
      <c r="H36" t="n">
        <v>0</v>
      </c>
      <c r="I36" t="n">
        <v>0</v>
      </c>
      <c r="J36" t="n">
        <v>1</v>
      </c>
      <c r="K36" t="inlineStr"/>
    </row>
    <row r="37">
      <c r="A37" t="inlineStr">
        <is>
          <t>LAW_B_016</t>
        </is>
      </c>
      <c r="B37" t="inlineStr">
        <is>
          <t>so-tay-kien-thuc-phap-luat-lao-dong-cdi</t>
        </is>
      </c>
      <c r="C37" t="inlineStr">
        <is>
          <t>Multi-hop</t>
        </is>
      </c>
      <c r="D37" t="inlineStr">
        <is>
          <t>Hard</t>
        </is>
      </c>
      <c r="E37" t="n">
        <v>0</v>
      </c>
      <c r="F37" t="n">
        <v>0</v>
      </c>
      <c r="G37" t="b">
        <v>0</v>
      </c>
      <c r="H37" t="n">
        <v>0</v>
      </c>
      <c r="I37" t="n">
        <v>0</v>
      </c>
      <c r="J37" t="n">
        <v>1</v>
      </c>
      <c r="K37" t="inlineStr"/>
    </row>
    <row r="38">
      <c r="A38" t="inlineStr">
        <is>
          <t>LAW_B_017</t>
        </is>
      </c>
      <c r="B38" t="inlineStr">
        <is>
          <t>so-tay-kien-thuc-phap-luat-lao-dong-cdi</t>
        </is>
      </c>
      <c r="C38" t="inlineStr">
        <is>
          <t>False Premise</t>
        </is>
      </c>
      <c r="D38" t="inlineStr">
        <is>
          <t>Hard</t>
        </is>
      </c>
      <c r="E38" t="n">
        <v>1</v>
      </c>
      <c r="F38" t="n">
        <v>1</v>
      </c>
      <c r="H38" t="n">
        <v>1</v>
      </c>
      <c r="I38" t="n">
        <v>0.606</v>
      </c>
      <c r="J38" t="n">
        <v>0</v>
      </c>
      <c r="K38" t="inlineStr">
        <is>
          <t>so-tay-kien-thuc-phap-luat-lao-dong-cdi tr.49-49 (0.606)
Văn-bản-hợp-nhất-18-VBHN-VPQH tr.7-7 (0.44)
giao trinh Luat lao dong CB 2005 (1) tr.36-36 (0.375)</t>
        </is>
      </c>
    </row>
    <row r="39">
      <c r="A39" t="inlineStr">
        <is>
          <t>LAW_B_018</t>
        </is>
      </c>
      <c r="B39" t="inlineStr">
        <is>
          <t>so-tay-kien-thuc-phap-luat-lao-dong-cdi</t>
        </is>
      </c>
      <c r="C39" t="inlineStr">
        <is>
          <t>Source-awareness</t>
        </is>
      </c>
      <c r="D39" t="inlineStr">
        <is>
          <t>Hard</t>
        </is>
      </c>
      <c r="E39" t="n">
        <v>0</v>
      </c>
      <c r="F39" t="n">
        <v>0</v>
      </c>
      <c r="G39" t="b">
        <v>0</v>
      </c>
      <c r="H39" t="n">
        <v>0</v>
      </c>
      <c r="I39" t="n">
        <v>0</v>
      </c>
      <c r="J39" t="n">
        <v>1</v>
      </c>
      <c r="K39" t="inlineStr"/>
    </row>
    <row r="40">
      <c r="A40" t="inlineStr">
        <is>
          <t>LAW_B_019</t>
        </is>
      </c>
      <c r="B40" t="inlineStr">
        <is>
          <t>so-tay-kien-thuc-phap-luat-lao-dong-cdi</t>
        </is>
      </c>
      <c r="C40" t="inlineStr">
        <is>
          <t>Synthesis</t>
        </is>
      </c>
      <c r="D40" t="inlineStr">
        <is>
          <t>Hard</t>
        </is>
      </c>
      <c r="E40" t="n">
        <v>0</v>
      </c>
      <c r="F40" t="n">
        <v>0</v>
      </c>
      <c r="G40" t="b">
        <v>0</v>
      </c>
      <c r="H40" t="n">
        <v>0</v>
      </c>
      <c r="I40" t="n">
        <v>0</v>
      </c>
      <c r="J40" t="n">
        <v>1</v>
      </c>
      <c r="K40" t="inlineStr"/>
    </row>
    <row r="41">
      <c r="A41" t="inlineStr">
        <is>
          <t>LAW_B_020</t>
        </is>
      </c>
      <c r="B41" t="inlineStr">
        <is>
          <t>so-tay-kien-thuc-phap-luat-lao-dong-cdi</t>
        </is>
      </c>
      <c r="C41" t="inlineStr">
        <is>
          <t>Synthesis</t>
        </is>
      </c>
      <c r="D41" t="inlineStr">
        <is>
          <t>Hard</t>
        </is>
      </c>
      <c r="E41" t="n">
        <v>0</v>
      </c>
      <c r="F41" t="n">
        <v>0</v>
      </c>
      <c r="G41" t="b">
        <v>0</v>
      </c>
      <c r="H41" t="n">
        <v>0</v>
      </c>
      <c r="I41" t="n">
        <v>0</v>
      </c>
      <c r="J41" t="n">
        <v>1</v>
      </c>
      <c r="K41" t="inlineStr"/>
    </row>
    <row r="42">
      <c r="A42" t="inlineStr">
        <is>
          <t>LAW_C_001</t>
        </is>
      </c>
      <c r="B42" t="inlineStr">
        <is>
          <t>luu-ban-nhap-tu-dong-3-4</t>
        </is>
      </c>
      <c r="C42" t="inlineStr">
        <is>
          <t>Direct Fact</t>
        </is>
      </c>
      <c r="D42" t="inlineStr">
        <is>
          <t>Easy</t>
        </is>
      </c>
      <c r="E42" t="n">
        <v>1</v>
      </c>
      <c r="F42" t="n">
        <v>1</v>
      </c>
      <c r="G42" t="b">
        <v>1</v>
      </c>
      <c r="H42" t="n">
        <v>0.5</v>
      </c>
      <c r="I42" t="n">
        <v>0.3582</v>
      </c>
      <c r="J42" t="n">
        <v>0</v>
      </c>
      <c r="K42" t="inlineStr">
        <is>
          <t>luu-ban-nhap-tu-dong-3-4 tr.1-1 (0.3582)</t>
        </is>
      </c>
    </row>
    <row r="43">
      <c r="A43" t="inlineStr">
        <is>
          <t>LAW_C_002</t>
        </is>
      </c>
      <c r="B43" t="inlineStr">
        <is>
          <t>luu-ban-nhap-tu-dong-3-4</t>
        </is>
      </c>
      <c r="C43" t="inlineStr">
        <is>
          <t>Direct Fact</t>
        </is>
      </c>
      <c r="D43" t="inlineStr">
        <is>
          <t>Easy</t>
        </is>
      </c>
      <c r="E43" t="n">
        <v>0</v>
      </c>
      <c r="F43" t="n">
        <v>0</v>
      </c>
      <c r="G43" t="b">
        <v>0</v>
      </c>
      <c r="H43" t="n">
        <v>0</v>
      </c>
      <c r="I43" t="n">
        <v>0</v>
      </c>
      <c r="J43" t="n">
        <v>1</v>
      </c>
      <c r="K43" t="inlineStr"/>
    </row>
    <row r="44">
      <c r="A44" t="inlineStr">
        <is>
          <t>LAW_C_003</t>
        </is>
      </c>
      <c r="B44" t="inlineStr">
        <is>
          <t>luu-ban-nhap-tu-dong-3-4</t>
        </is>
      </c>
      <c r="C44" t="inlineStr">
        <is>
          <t>Direct Fact</t>
        </is>
      </c>
      <c r="D44" t="inlineStr">
        <is>
          <t>Easy</t>
        </is>
      </c>
      <c r="E44" t="n">
        <v>1</v>
      </c>
      <c r="F44" t="n">
        <v>1</v>
      </c>
      <c r="G44" t="b">
        <v>0</v>
      </c>
      <c r="H44" t="n">
        <v>0</v>
      </c>
      <c r="I44" t="n">
        <v>0.8496</v>
      </c>
      <c r="J44" t="n">
        <v>0</v>
      </c>
      <c r="K44" t="inlineStr">
        <is>
          <t>luu-ban-nhap-tu-dong-3-4 tr.560-560 (0.8496)
luu-ban-nhap-tu-dong-3-4 tr.160-160 (0.8397)
luu-ban-nhap-tu-dong-3-4 tr.160-160 (0.72)
luu-ban-nhap-tu-dong-3-4 tr.177-177 (0.6968)
luu-ban-nhap-tu-dong-3-4 tr.170-170 (0.5984)</t>
        </is>
      </c>
    </row>
    <row r="45">
      <c r="A45" t="inlineStr">
        <is>
          <t>LAW_C_004</t>
        </is>
      </c>
      <c r="B45" t="inlineStr">
        <is>
          <t>luu-ban-nhap-tu-dong-3-4</t>
        </is>
      </c>
      <c r="C45" t="inlineStr">
        <is>
          <t>Direct Fact</t>
        </is>
      </c>
      <c r="D45" t="inlineStr">
        <is>
          <t>Easy</t>
        </is>
      </c>
      <c r="E45" t="n">
        <v>0</v>
      </c>
      <c r="F45" t="n">
        <v>0</v>
      </c>
      <c r="G45" t="b">
        <v>0</v>
      </c>
      <c r="H45" t="n">
        <v>0</v>
      </c>
      <c r="I45" t="n">
        <v>0</v>
      </c>
      <c r="J45" t="n">
        <v>1</v>
      </c>
      <c r="K45" t="inlineStr"/>
    </row>
    <row r="46">
      <c r="A46" t="inlineStr">
        <is>
          <t>LAW_C_005</t>
        </is>
      </c>
      <c r="B46" t="inlineStr">
        <is>
          <t>luu-ban-nhap-tu-dong-3-4</t>
        </is>
      </c>
      <c r="C46" t="inlineStr">
        <is>
          <t>Direct Fact</t>
        </is>
      </c>
      <c r="D46" t="inlineStr">
        <is>
          <t>Easy</t>
        </is>
      </c>
      <c r="E46" t="n">
        <v>0</v>
      </c>
      <c r="F46" t="n">
        <v>0</v>
      </c>
      <c r="G46" t="b">
        <v>0</v>
      </c>
      <c r="H46" t="n">
        <v>0</v>
      </c>
      <c r="I46" t="n">
        <v>0</v>
      </c>
      <c r="J46" t="n">
        <v>1</v>
      </c>
      <c r="K46" t="inlineStr"/>
    </row>
    <row r="47">
      <c r="A47" t="inlineStr">
        <is>
          <t>LAW_C_006</t>
        </is>
      </c>
      <c r="B47" t="inlineStr">
        <is>
          <t>luu-ban-nhap-tu-dong-3-4</t>
        </is>
      </c>
      <c r="C47" t="inlineStr">
        <is>
          <t>Direct Fact</t>
        </is>
      </c>
      <c r="D47" t="inlineStr">
        <is>
          <t>Easy</t>
        </is>
      </c>
      <c r="E47" t="n">
        <v>1</v>
      </c>
      <c r="F47" t="n">
        <v>1</v>
      </c>
      <c r="G47" t="b">
        <v>1</v>
      </c>
      <c r="H47" t="n">
        <v>1</v>
      </c>
      <c r="I47" t="n">
        <v>0.9769</v>
      </c>
      <c r="J47" t="n">
        <v>0</v>
      </c>
      <c r="K47" t="inlineStr">
        <is>
          <t>luu-ban-nhap-tu-dong-3-4 tr.77-77 (0.9769)
luu-ban-nhap-tu-dong-3-4 tr.4-4 (0.9751)
giao trinh Luat lao dong CB 2005 (1) tr.209-209 (0.9705)
luu-ban-nhap-tu-dong-3-4 tr.572-572 (0.9702)
so-tay-kien-thuc-phap-luat-lao-dong-cdi tr.53-53 (0.9646)</t>
        </is>
      </c>
    </row>
    <row r="48">
      <c r="A48" t="inlineStr">
        <is>
          <t>LAW_C_007</t>
        </is>
      </c>
      <c r="B48" t="inlineStr">
        <is>
          <t>luu-ban-nhap-tu-dong-3-4</t>
        </is>
      </c>
      <c r="C48" t="inlineStr">
        <is>
          <t>Direct Fact</t>
        </is>
      </c>
      <c r="D48" t="inlineStr">
        <is>
          <t>Easy</t>
        </is>
      </c>
      <c r="E48" t="n">
        <v>1</v>
      </c>
      <c r="F48" t="n">
        <v>1</v>
      </c>
      <c r="G48" t="b">
        <v>1</v>
      </c>
      <c r="H48" t="n">
        <v>0.5</v>
      </c>
      <c r="I48" t="n">
        <v>0.9832</v>
      </c>
      <c r="J48" t="n">
        <v>0</v>
      </c>
      <c r="K48" t="inlineStr">
        <is>
          <t>luu-ban-nhap-tu-dong-3-4 tr.4-4 (0.9832)
luu-ban-nhap-tu-dong-3-4 tr.54-54 (0.9827)
luu-ban-nhap-tu-dong-3-4 tr.4-4 (0.9765)
luu-ban-nhap-tu-dong-3-4 tr.4-4 (0.9747)
Văn-bản-hợp-nhất-18-VBHN-VPQH tr.67-67 (0.9322)</t>
        </is>
      </c>
    </row>
    <row r="49">
      <c r="A49" t="inlineStr">
        <is>
          <t>LAW_C_008</t>
        </is>
      </c>
      <c r="B49" t="inlineStr">
        <is>
          <t>luu-ban-nhap-tu-dong-3-4</t>
        </is>
      </c>
      <c r="C49" t="inlineStr">
        <is>
          <t>Definition</t>
        </is>
      </c>
      <c r="D49" t="inlineStr">
        <is>
          <t>Medium</t>
        </is>
      </c>
      <c r="E49" t="n">
        <v>0</v>
      </c>
      <c r="F49" t="n">
        <v>1</v>
      </c>
      <c r="G49" t="b">
        <v>1</v>
      </c>
      <c r="H49" t="n">
        <v>1</v>
      </c>
      <c r="I49" t="n">
        <v>0.9039</v>
      </c>
      <c r="J49" t="n">
        <v>0</v>
      </c>
      <c r="K49" t="inlineStr">
        <is>
          <t>ILO-VCCI_Labour-Law-Guide-Book-V04-Final tr.17-17 (0.9039)
luu-ban-nhap-tu-dong-3-4 tr.6-7 (0.892)
ILO-VCCI_Labour-Law-Guide-Book-V04-Final tr.11-11 (0.827)
luu-ban-nhap-tu-dong-3-4 tr.70-70 (0.8042)
ILO-VCCI_Labour-Law-Guide-Book-V04-Final tr.31-31 (0.6053)</t>
        </is>
      </c>
    </row>
    <row r="50">
      <c r="A50" t="inlineStr">
        <is>
          <t>LAW_C_009</t>
        </is>
      </c>
      <c r="B50" t="inlineStr">
        <is>
          <t>luu-ban-nhap-tu-dong-3-4</t>
        </is>
      </c>
      <c r="C50" t="inlineStr">
        <is>
          <t>Definition</t>
        </is>
      </c>
      <c r="D50" t="inlineStr">
        <is>
          <t>Medium</t>
        </is>
      </c>
      <c r="E50" t="n">
        <v>0</v>
      </c>
      <c r="F50" t="n">
        <v>0</v>
      </c>
      <c r="G50" t="b">
        <v>0</v>
      </c>
      <c r="H50" t="n">
        <v>1</v>
      </c>
      <c r="I50" t="n">
        <v>0.9957</v>
      </c>
      <c r="J50" t="n">
        <v>0</v>
      </c>
      <c r="K50" t="inlineStr">
        <is>
          <t>ILO-VCCI_Labour-Law-Guide-Book-V04-Final tr.11-11 (0.9957)
Văn-bản-hợp-nhất-18-VBHN-VPQH tr.2-3 (0.8934)
ILO-VCCI_Labour-Law-Guide-Book-V04-Final tr.11-11 (0.8732)
ILO-VCCI_Labour-Law-Guide-Book-V04-Final tr.30-30 (0.7279)
ILO-VCCI_Labour-Law-Guide-Book-V04-Final tr.27-27 (0.5981)</t>
        </is>
      </c>
    </row>
    <row r="51">
      <c r="A51" t="inlineStr">
        <is>
          <t>LAW_C_010</t>
        </is>
      </c>
      <c r="B51" t="inlineStr">
        <is>
          <t>luu-ban-nhap-tu-dong-3-4</t>
        </is>
      </c>
      <c r="C51" t="inlineStr">
        <is>
          <t>Direct Fact</t>
        </is>
      </c>
      <c r="D51" t="inlineStr">
        <is>
          <t>Medium</t>
        </is>
      </c>
      <c r="E51" t="n">
        <v>0</v>
      </c>
      <c r="F51" t="n">
        <v>0</v>
      </c>
      <c r="G51" t="b">
        <v>0</v>
      </c>
      <c r="H51" t="n">
        <v>0.5</v>
      </c>
      <c r="I51" t="n">
        <v>0.9903999999999999</v>
      </c>
      <c r="J51" t="n">
        <v>0</v>
      </c>
      <c r="K51" t="inlineStr">
        <is>
          <t>ILO-VCCI_Labour-Law-Guide-Book-V04-Final tr.113-113 (0.9904)
ILO-VCCI_Labour-Law-Guide-Book-V04-Final tr.70-70 (0.7581)
ILO-VCCI_Labour-Law-Guide-Book-V04-Final tr.11-11 (0.721)
ILO-VCCI_Labour-Law-Guide-Book-V04-Final tr.55-55 (0.7156)
ILO-VCCI_Labour-Law-Guide-Book-V04-Final tr.32-33 (0.6985)</t>
        </is>
      </c>
    </row>
    <row r="52">
      <c r="A52" t="inlineStr">
        <is>
          <t>LAW_C_011</t>
        </is>
      </c>
      <c r="B52" t="inlineStr">
        <is>
          <t>luu-ban-nhap-tu-dong-3-4</t>
        </is>
      </c>
      <c r="C52" t="inlineStr">
        <is>
          <t>Navigation</t>
        </is>
      </c>
      <c r="D52" t="inlineStr">
        <is>
          <t>Medium</t>
        </is>
      </c>
      <c r="E52" t="n">
        <v>1</v>
      </c>
      <c r="F52" t="n">
        <v>1</v>
      </c>
      <c r="G52" t="b">
        <v>1</v>
      </c>
      <c r="H52" t="n">
        <v>0.5</v>
      </c>
      <c r="I52" t="n">
        <v>0.972</v>
      </c>
      <c r="J52" t="n">
        <v>0</v>
      </c>
      <c r="K52" t="inlineStr">
        <is>
          <t>luu-ban-nhap-tu-dong-3-4 tr.2-2 (0.972)
luu-ban-nhap-tu-dong-3-4 tr.3-3 (0.9626)
luu-ban-nhap-tu-dong-3-4 tr.2-2 (0.9615)
luu-ban-nhap-tu-dong-3-4 tr.483-483 (0.8638)
luu-ban-nhap-tu-dong-3-4 tr.394-394 (0.7815)</t>
        </is>
      </c>
    </row>
    <row r="53">
      <c r="A53" t="inlineStr">
        <is>
          <t>LAW_C_012</t>
        </is>
      </c>
      <c r="B53" t="inlineStr">
        <is>
          <t>luu-ban-nhap-tu-dong-3-4</t>
        </is>
      </c>
      <c r="C53" t="inlineStr">
        <is>
          <t>Navigation</t>
        </is>
      </c>
      <c r="D53" t="inlineStr">
        <is>
          <t>Medium</t>
        </is>
      </c>
      <c r="E53" t="n">
        <v>1</v>
      </c>
      <c r="F53" t="n">
        <v>1</v>
      </c>
      <c r="G53" t="b">
        <v>1</v>
      </c>
      <c r="H53" t="n">
        <v>0.5</v>
      </c>
      <c r="I53" t="n">
        <v>0.8687</v>
      </c>
      <c r="J53" t="n">
        <v>0</v>
      </c>
      <c r="K53" t="inlineStr">
        <is>
          <t>luu-ban-nhap-tu-dong-3-4 tr.2-2 (0.8687)
luu-ban-nhap-tu-dong-3-4 tr.2-2 (0.5359)
luu-ban-nhap-tu-dong-3-4 tr.413-414 (0.4326)
ILO-VCCI_Labour-Law-Guide-Book-V04-Final tr.22-24 (0.4101)
ILO-VCCI_Labour-Law-Guide-Book-V04-Final tr.93-93 (0.375)</t>
        </is>
      </c>
    </row>
    <row r="54">
      <c r="A54" t="inlineStr">
        <is>
          <t>LAW_C_013</t>
        </is>
      </c>
      <c r="B54" t="inlineStr">
        <is>
          <t>luu-ban-nhap-tu-dong-3-4</t>
        </is>
      </c>
      <c r="C54" t="inlineStr">
        <is>
          <t>Navigation</t>
        </is>
      </c>
      <c r="D54" t="inlineStr">
        <is>
          <t>Medium</t>
        </is>
      </c>
      <c r="E54" t="n">
        <v>0</v>
      </c>
      <c r="F54" t="n">
        <v>1</v>
      </c>
      <c r="G54" t="b">
        <v>0</v>
      </c>
      <c r="H54" t="n">
        <v>0.75</v>
      </c>
      <c r="I54" t="n">
        <v>0.995</v>
      </c>
      <c r="J54" t="n">
        <v>0</v>
      </c>
      <c r="K54" t="inlineStr">
        <is>
          <t>so-tay-kien-thuc-phap-luat-lao-dong-cdi tr.52-52 (0.995)
luu-ban-nhap-tu-dong-3-4 tr.568-568 (0.9929)
luu-ban-nhap-tu-dong-3-4 tr.570-570 (0.9919)
luu-ban-nhap-tu-dong-3-4 tr.556-556 (0.9913)
luu-ban-nhap-tu-dong-3-4 tr.568-569 (0.9868)</t>
        </is>
      </c>
    </row>
    <row r="55">
      <c r="A55" t="inlineStr">
        <is>
          <t>LAW_C_014</t>
        </is>
      </c>
      <c r="B55" t="inlineStr">
        <is>
          <t>luu-ban-nhap-tu-dong-3-4</t>
        </is>
      </c>
      <c r="C55" t="inlineStr">
        <is>
          <t>Navigation</t>
        </is>
      </c>
      <c r="D55" t="inlineStr">
        <is>
          <t>Medium</t>
        </is>
      </c>
      <c r="E55" t="n">
        <v>0</v>
      </c>
      <c r="F55" t="n">
        <v>1</v>
      </c>
      <c r="G55" t="b">
        <v>1</v>
      </c>
      <c r="H55" t="n">
        <v>1</v>
      </c>
      <c r="I55" t="n">
        <v>0.9898</v>
      </c>
      <c r="J55" t="n">
        <v>0</v>
      </c>
      <c r="K55" t="inlineStr">
        <is>
          <t>so-tay-kien-thuc-phap-luat-lao-dong-cdi tr.52-52 (0.9898)
luu-ban-nhap-tu-dong-3-4 tr.5-5 (0.9888)
luu-ban-nhap-tu-dong-3-4 tr.739-739 (0.9854)
luu-ban-nhap-tu-dong-3-4 tr.737-737 (0.9744)
luu-ban-nhap-tu-dong-3-4 tr.737-738 (0.9603)</t>
        </is>
      </c>
    </row>
    <row r="56">
      <c r="A56" t="inlineStr">
        <is>
          <t>LAW_C_015</t>
        </is>
      </c>
      <c r="B56" t="inlineStr">
        <is>
          <t>luu-ban-nhap-tu-dong-3-4</t>
        </is>
      </c>
      <c r="C56" t="inlineStr">
        <is>
          <t>Multi-hop</t>
        </is>
      </c>
      <c r="D56" t="inlineStr">
        <is>
          <t>Hard</t>
        </is>
      </c>
      <c r="E56" t="n">
        <v>0</v>
      </c>
      <c r="F56" t="n">
        <v>0</v>
      </c>
      <c r="G56" t="b">
        <v>0</v>
      </c>
      <c r="H56" t="n">
        <v>0</v>
      </c>
      <c r="I56" t="n">
        <v>0</v>
      </c>
      <c r="J56" t="n">
        <v>1</v>
      </c>
      <c r="K56" t="inlineStr"/>
    </row>
    <row r="57">
      <c r="A57" t="inlineStr">
        <is>
          <t>LAW_C_016</t>
        </is>
      </c>
      <c r="B57" t="inlineStr">
        <is>
          <t>luu-ban-nhap-tu-dong-3-4</t>
        </is>
      </c>
      <c r="C57" t="inlineStr">
        <is>
          <t>Temporal Reasoning</t>
        </is>
      </c>
      <c r="D57" t="inlineStr">
        <is>
          <t>Hard</t>
        </is>
      </c>
      <c r="E57" t="n">
        <v>0</v>
      </c>
      <c r="F57" t="n">
        <v>0</v>
      </c>
      <c r="G57" t="b">
        <v>0</v>
      </c>
      <c r="H57" t="n">
        <v>0</v>
      </c>
      <c r="I57" t="n">
        <v>0</v>
      </c>
      <c r="J57" t="n">
        <v>1</v>
      </c>
      <c r="K57" t="inlineStr"/>
    </row>
    <row r="58">
      <c r="A58" t="inlineStr">
        <is>
          <t>LAW_C_017</t>
        </is>
      </c>
      <c r="B58" t="inlineStr">
        <is>
          <t>luu-ban-nhap-tu-dong-3-4</t>
        </is>
      </c>
      <c r="C58" t="inlineStr">
        <is>
          <t>False Premise</t>
        </is>
      </c>
      <c r="D58" t="inlineStr">
        <is>
          <t>Hard</t>
        </is>
      </c>
      <c r="E58" t="n">
        <v>0</v>
      </c>
      <c r="F58" t="n">
        <v>0</v>
      </c>
      <c r="G58" t="b">
        <v>0</v>
      </c>
      <c r="H58" t="n">
        <v>0.25</v>
      </c>
      <c r="I58" t="n">
        <v>0.4754</v>
      </c>
      <c r="J58" t="n">
        <v>0</v>
      </c>
      <c r="K58" t="inlineStr">
        <is>
          <t>Văn-bản-hợp-nhất-18-VBHN-VPQH tr.1-1 (0.4754)</t>
        </is>
      </c>
    </row>
    <row r="59">
      <c r="A59" t="inlineStr">
        <is>
          <t>LAW_C_018</t>
        </is>
      </c>
      <c r="B59" t="inlineStr">
        <is>
          <t>luu-ban-nhap-tu-dong-3-4</t>
        </is>
      </c>
      <c r="C59" t="inlineStr">
        <is>
          <t>Source Selection</t>
        </is>
      </c>
      <c r="D59" t="inlineStr">
        <is>
          <t>Hard</t>
        </is>
      </c>
      <c r="E59" t="n">
        <v>0</v>
      </c>
      <c r="F59" t="n">
        <v>0</v>
      </c>
      <c r="G59" t="b">
        <v>0</v>
      </c>
      <c r="H59" t="n">
        <v>0</v>
      </c>
      <c r="I59" t="n">
        <v>0.5387999999999999</v>
      </c>
      <c r="J59" t="n">
        <v>0</v>
      </c>
      <c r="K59" t="inlineStr">
        <is>
          <t>ILO-VCCI_Labour-Law-Guide-Book-V04-Final tr.57-58 (0.5388)
ILO-VCCI_Labour-Law-Guide-Book-V04-Final tr.131-131 (0.4831)</t>
        </is>
      </c>
    </row>
    <row r="60">
      <c r="A60" t="inlineStr">
        <is>
          <t>LAW_C_019</t>
        </is>
      </c>
      <c r="B60" t="inlineStr">
        <is>
          <t>luu-ban-nhap-tu-dong-3-4</t>
        </is>
      </c>
      <c r="C60" t="inlineStr">
        <is>
          <t>Multi-document</t>
        </is>
      </c>
      <c r="D60" t="inlineStr">
        <is>
          <t>Hard</t>
        </is>
      </c>
      <c r="E60" t="n">
        <v>0</v>
      </c>
      <c r="F60" t="n">
        <v>0</v>
      </c>
      <c r="G60" t="b">
        <v>0</v>
      </c>
      <c r="H60" t="n">
        <v>0</v>
      </c>
      <c r="I60" t="n">
        <v>0</v>
      </c>
      <c r="J60" t="n">
        <v>1</v>
      </c>
      <c r="K60" t="inlineStr"/>
    </row>
    <row r="61">
      <c r="A61" t="inlineStr">
        <is>
          <t>LAW_C_020</t>
        </is>
      </c>
      <c r="B61" t="inlineStr">
        <is>
          <t>luu-ban-nhap-tu-dong-3-4</t>
        </is>
      </c>
      <c r="C61" t="inlineStr">
        <is>
          <t>Multi-document</t>
        </is>
      </c>
      <c r="D61" t="inlineStr">
        <is>
          <t>Hard</t>
        </is>
      </c>
      <c r="E61" t="n">
        <v>0</v>
      </c>
      <c r="F61" t="n">
        <v>0</v>
      </c>
      <c r="G61" t="b">
        <v>0</v>
      </c>
      <c r="H61" t="n">
        <v>0</v>
      </c>
      <c r="I61" t="n">
        <v>0</v>
      </c>
      <c r="J61" t="n">
        <v>1</v>
      </c>
      <c r="K61" t="inlineStr"/>
    </row>
    <row r="62">
      <c r="A62" t="inlineStr">
        <is>
          <t>LAW_D_001</t>
        </is>
      </c>
      <c r="B62" t="inlineStr">
        <is>
          <t>ILO-VCCI_Labour-Law-Guide-Book-V04-Final</t>
        </is>
      </c>
      <c r="C62" t="inlineStr">
        <is>
          <t>Direct Fact</t>
        </is>
      </c>
      <c r="D62" t="inlineStr">
        <is>
          <t>Easy</t>
        </is>
      </c>
      <c r="E62" t="n">
        <v>1</v>
      </c>
      <c r="F62" t="n">
        <v>1</v>
      </c>
      <c r="H62" t="n">
        <v>1</v>
      </c>
      <c r="I62" t="n">
        <v>0.7927999999999999</v>
      </c>
      <c r="J62" t="n">
        <v>0</v>
      </c>
      <c r="K62" t="inlineStr">
        <is>
          <t>ILO-VCCI_Labour-Law-Guide-Book-V04-Final tr.4-4 (0.7928)
ILO-VCCI_Labour-Law-Guide-Book-V04-Final tr.3-3 (0.6319)
ILO-VCCI_Labour-Law-Guide-Book-V04-Final tr.4-4 (0.5045)</t>
        </is>
      </c>
    </row>
    <row r="63">
      <c r="A63" t="inlineStr">
        <is>
          <t>LAW_D_002</t>
        </is>
      </c>
      <c r="B63" t="inlineStr">
        <is>
          <t>ILO-VCCI_Labour-Law-Guide-Book-V04-Final</t>
        </is>
      </c>
      <c r="C63" t="inlineStr">
        <is>
          <t>Direct Fact</t>
        </is>
      </c>
      <c r="D63" t="inlineStr">
        <is>
          <t>Easy</t>
        </is>
      </c>
      <c r="E63" t="n">
        <v>1</v>
      </c>
      <c r="F63" t="n">
        <v>1</v>
      </c>
      <c r="H63" t="n">
        <v>1</v>
      </c>
      <c r="I63" t="n">
        <v>0.7989000000000001</v>
      </c>
      <c r="J63" t="n">
        <v>0</v>
      </c>
      <c r="K63" t="inlineStr">
        <is>
          <t>ILO-VCCI_Labour-Law-Guide-Book-V04-Final tr.4-4 (0.7989)
ILO-VCCI_Labour-Law-Guide-Book-V04-Final tr.131-131 (0.489)</t>
        </is>
      </c>
    </row>
    <row r="64">
      <c r="A64" t="inlineStr">
        <is>
          <t>LAW_D_003</t>
        </is>
      </c>
      <c r="B64" t="inlineStr">
        <is>
          <t>ILO-VCCI_Labour-Law-Guide-Book-V04-Final</t>
        </is>
      </c>
      <c r="C64" t="inlineStr">
        <is>
          <t>List</t>
        </is>
      </c>
      <c r="D64" t="inlineStr">
        <is>
          <t>Easy</t>
        </is>
      </c>
      <c r="E64" t="n">
        <v>1</v>
      </c>
      <c r="F64" t="n">
        <v>1</v>
      </c>
      <c r="G64" t="b">
        <v>1</v>
      </c>
      <c r="H64" t="n">
        <v>0.8571428571428571</v>
      </c>
      <c r="I64" t="n">
        <v>0.9776</v>
      </c>
      <c r="J64" t="n">
        <v>0</v>
      </c>
      <c r="K64" t="inlineStr">
        <is>
          <t>ILO-VCCI_Labour-Law-Guide-Book-V04-Final tr.4-4 (0.9776)
ILO-VCCI_Labour-Law-Guide-Book-V04-Final tr.4-4 (0.9514)
ILO-VCCI_Labour-Law-Guide-Book-V04-Final tr.131-131 (0.5574)</t>
        </is>
      </c>
    </row>
    <row r="65">
      <c r="A65" t="inlineStr">
        <is>
          <t>LAW_D_004</t>
        </is>
      </c>
      <c r="B65" t="inlineStr">
        <is>
          <t>ILO-VCCI_Labour-Law-Guide-Book-V04-Final</t>
        </is>
      </c>
      <c r="C65" t="inlineStr">
        <is>
          <t>Direct Fact</t>
        </is>
      </c>
      <c r="D65" t="inlineStr">
        <is>
          <t>Easy</t>
        </is>
      </c>
      <c r="E65" t="n">
        <v>1</v>
      </c>
      <c r="F65" t="n">
        <v>1</v>
      </c>
      <c r="H65" t="n">
        <v>0.5</v>
      </c>
      <c r="I65" t="n">
        <v>0.3751</v>
      </c>
      <c r="J65" t="n">
        <v>0</v>
      </c>
      <c r="K65" t="inlineStr">
        <is>
          <t>ILO-VCCI_Labour-Law-Guide-Book-V04-Final tr.4-4 (0.3751)</t>
        </is>
      </c>
    </row>
    <row r="66">
      <c r="A66" t="inlineStr">
        <is>
          <t>LAW_D_005</t>
        </is>
      </c>
      <c r="B66" t="inlineStr">
        <is>
          <t>ILO-VCCI_Labour-Law-Guide-Book-V04-Final</t>
        </is>
      </c>
      <c r="C66" t="inlineStr">
        <is>
          <t>Direct Fact</t>
        </is>
      </c>
      <c r="D66" t="inlineStr">
        <is>
          <t>Easy</t>
        </is>
      </c>
      <c r="E66" t="n">
        <v>1</v>
      </c>
      <c r="F66" t="n">
        <v>1</v>
      </c>
      <c r="G66" t="b">
        <v>1</v>
      </c>
      <c r="H66" t="n">
        <v>1</v>
      </c>
      <c r="I66" t="n">
        <v>0.9076</v>
      </c>
      <c r="J66" t="n">
        <v>0</v>
      </c>
      <c r="K66" t="inlineStr">
        <is>
          <t>ILO-VCCI_Labour-Law-Guide-Book-V04-Final tr.4-4 (0.9076)
ILO-VCCI_Labour-Law-Guide-Book-V04-Final tr.4-4 (0.4911)</t>
        </is>
      </c>
    </row>
    <row r="67">
      <c r="A67" t="inlineStr">
        <is>
          <t>LAW_D_006</t>
        </is>
      </c>
      <c r="B67" t="inlineStr">
        <is>
          <t>ILO-VCCI_Labour-Law-Guide-Book-V04-Final</t>
        </is>
      </c>
      <c r="C67" t="inlineStr">
        <is>
          <t>Direct Fact</t>
        </is>
      </c>
      <c r="D67" t="inlineStr">
        <is>
          <t>Easy</t>
        </is>
      </c>
      <c r="E67" t="n">
        <v>1</v>
      </c>
      <c r="F67" t="n">
        <v>1</v>
      </c>
      <c r="G67" t="b">
        <v>1</v>
      </c>
      <c r="H67" t="n">
        <v>1</v>
      </c>
      <c r="I67" t="n">
        <v>0.9711</v>
      </c>
      <c r="J67" t="n">
        <v>0</v>
      </c>
      <c r="K67" t="inlineStr">
        <is>
          <t>ILO-VCCI_Labour-Law-Guide-Book-V04-Final tr.7-7 (0.9711)
ILO-VCCI_Labour-Law-Guide-Book-V04-Final tr.7-7 (0.9607)
ILO-VCCI_Labour-Law-Guide-Book-V04-Final tr.7-7 (0.9419)
ILO-VCCI_Labour-Law-Guide-Book-V04-Final tr.4-4 (0.9178)
ILO-VCCI_Labour-Law-Guide-Book-V04-Final tr.131-131 (0.8626)</t>
        </is>
      </c>
    </row>
    <row r="68">
      <c r="A68" t="inlineStr">
        <is>
          <t>LAW_D_007</t>
        </is>
      </c>
      <c r="B68" t="inlineStr">
        <is>
          <t>ILO-VCCI_Labour-Law-Guide-Book-V04-Final</t>
        </is>
      </c>
      <c r="C68" t="inlineStr">
        <is>
          <t>Direct Fact</t>
        </is>
      </c>
      <c r="D68" t="inlineStr">
        <is>
          <t>Easy</t>
        </is>
      </c>
      <c r="E68" t="n">
        <v>1</v>
      </c>
      <c r="F68" t="n">
        <v>1</v>
      </c>
      <c r="G68" t="b">
        <v>1</v>
      </c>
      <c r="H68" t="n">
        <v>1</v>
      </c>
      <c r="I68" t="n">
        <v>0.9897</v>
      </c>
      <c r="J68" t="n">
        <v>0</v>
      </c>
      <c r="K68" t="inlineStr">
        <is>
          <t>ILO-VCCI_Labour-Law-Guide-Book-V04-Final tr.4-4 (0.9897)
ILO-VCCI_Labour-Law-Guide-Book-V04-Final tr.8-8 (0.9803)
ILO-VCCI_Labour-Law-Guide-Book-V04-Final tr.4-4 (0.9699)
Văn-bản-hợp-nhất-18-VBHN-VPQH tr.38-38 (0.9034)
ILO-VCCI_Labour-Law-Guide-Book-V04-Final tr.99-99 (0.88)</t>
        </is>
      </c>
    </row>
    <row r="69">
      <c r="A69" t="inlineStr">
        <is>
          <t>LAW_D_008</t>
        </is>
      </c>
      <c r="B69" t="inlineStr">
        <is>
          <t>ILO-VCCI_Labour-Law-Guide-Book-V04-Final</t>
        </is>
      </c>
      <c r="C69" t="inlineStr">
        <is>
          <t>Concept</t>
        </is>
      </c>
      <c r="D69" t="inlineStr">
        <is>
          <t>Medium</t>
        </is>
      </c>
      <c r="E69" t="n">
        <v>1</v>
      </c>
      <c r="F69" t="n">
        <v>1</v>
      </c>
      <c r="G69" t="b">
        <v>1</v>
      </c>
      <c r="H69" t="n">
        <v>0.6666666666666666</v>
      </c>
      <c r="I69" t="n">
        <v>0.9978</v>
      </c>
      <c r="J69" t="n">
        <v>0</v>
      </c>
      <c r="K69" t="inlineStr">
        <is>
          <t>ILO-VCCI_Labour-Law-Guide-Book-V04-Final tr.4-4 (0.9978)
ILO-VCCI_Labour-Law-Guide-Book-V04-Final tr.131-131 (0.9893)
ILO-VCCI_Labour-Law-Guide-Book-V04-Final tr.3-3 (0.9866)
ILO-VCCI_Labour-Law-Guide-Book-V04-Final tr.83-83 (0.9473)
ILO-VCCI_Labour-Law-Guide-Book-V04-Final tr.4-4 (0.9429)</t>
        </is>
      </c>
    </row>
    <row r="70">
      <c r="A70" t="inlineStr">
        <is>
          <t>LAW_D_009</t>
        </is>
      </c>
      <c r="B70" t="inlineStr">
        <is>
          <t>ILO-VCCI_Labour-Law-Guide-Book-V04-Final</t>
        </is>
      </c>
      <c r="C70" t="inlineStr">
        <is>
          <t>Navigation</t>
        </is>
      </c>
      <c r="D70" t="inlineStr">
        <is>
          <t>Medium</t>
        </is>
      </c>
      <c r="E70" t="n">
        <v>1</v>
      </c>
      <c r="F70" t="n">
        <v>1</v>
      </c>
      <c r="G70" t="b">
        <v>1</v>
      </c>
      <c r="H70" t="n">
        <v>1</v>
      </c>
      <c r="I70" t="n">
        <v>0.629</v>
      </c>
      <c r="J70" t="n">
        <v>0</v>
      </c>
      <c r="K70" t="inlineStr">
        <is>
          <t>ILO-VCCI_Labour-Law-Guide-Book-V04-Final tr.10-10 (0.629)
ILO-VCCI_Labour-Law-Guide-Book-V04-Final tr.5-5 (0.4961)
ILO-VCCI_Labour-Law-Guide-Book-V04-Final tr.10-11 (0.455)</t>
        </is>
      </c>
    </row>
    <row r="71">
      <c r="A71" t="inlineStr">
        <is>
          <t>LAW_D_010</t>
        </is>
      </c>
      <c r="B71" t="inlineStr">
        <is>
          <t>ILO-VCCI_Labour-Law-Guide-Book-V04-Final</t>
        </is>
      </c>
      <c r="C71" t="inlineStr">
        <is>
          <t>Navigation</t>
        </is>
      </c>
      <c r="D71" t="inlineStr">
        <is>
          <t>Medium</t>
        </is>
      </c>
      <c r="E71" t="n">
        <v>1</v>
      </c>
      <c r="F71" t="n">
        <v>1</v>
      </c>
      <c r="G71" t="b">
        <v>0</v>
      </c>
      <c r="H71" t="n">
        <v>1</v>
      </c>
      <c r="I71" t="n">
        <v>0.9129</v>
      </c>
      <c r="J71" t="n">
        <v>0</v>
      </c>
      <c r="K71" t="inlineStr">
        <is>
          <t>ILO-VCCI_Labour-Law-Guide-Book-V04-Final tr.32-33 (0.9129)
ILO-VCCI_Labour-Law-Guide-Book-V04-Final tr.32-32 (0.9015)
luu-ban-nhap-tu-dong-3-4 tr.419-419 (0.798)
ILO-VCCI_Labour-Law-Guide-Book-V04-Final tr.46-47 (0.6872)
ILO-VCCI_Labour-Law-Guide-Book-V04-Final tr.124-124 (0.6683)</t>
        </is>
      </c>
    </row>
    <row r="72">
      <c r="A72" t="inlineStr">
        <is>
          <t>LAW_D_011</t>
        </is>
      </c>
      <c r="B72" t="inlineStr">
        <is>
          <t>ILO-VCCI_Labour-Law-Guide-Book-V04-Final</t>
        </is>
      </c>
      <c r="C72" t="inlineStr">
        <is>
          <t>Navigation</t>
        </is>
      </c>
      <c r="D72" t="inlineStr">
        <is>
          <t>Medium</t>
        </is>
      </c>
      <c r="E72" t="n">
        <v>1</v>
      </c>
      <c r="F72" t="n">
        <v>1</v>
      </c>
      <c r="G72" t="b">
        <v>0</v>
      </c>
      <c r="H72" t="n">
        <v>1</v>
      </c>
      <c r="I72" t="n">
        <v>0.9012</v>
      </c>
      <c r="J72" t="n">
        <v>0</v>
      </c>
      <c r="K72" t="inlineStr">
        <is>
          <t>ILO-VCCI_Labour-Law-Guide-Book-V04-Final tr.34-34 (0.9012)
ILO-VCCI_Labour-Law-Guide-Book-V04-Final tr.39-39 (0.893)
luu-ban-nhap-tu-dong-3-4 tr.419-420 (0.8908)
luu-ban-nhap-tu-dong-3-4 tr.420-420 (0.8908)
ILO-VCCI_Labour-Law-Guide-Book-V04-Final tr.68-68 (0.8432)</t>
        </is>
      </c>
    </row>
    <row r="73">
      <c r="A73" t="inlineStr">
        <is>
          <t>LAW_D_012</t>
        </is>
      </c>
      <c r="B73" t="inlineStr">
        <is>
          <t>ILO-VCCI_Labour-Law-Guide-Book-V04-Final</t>
        </is>
      </c>
      <c r="C73" t="inlineStr">
        <is>
          <t>Navigation</t>
        </is>
      </c>
      <c r="D73" t="inlineStr">
        <is>
          <t>Medium</t>
        </is>
      </c>
      <c r="E73" t="n">
        <v>0</v>
      </c>
      <c r="F73" t="n">
        <v>1</v>
      </c>
      <c r="G73" t="b">
        <v>0</v>
      </c>
      <c r="H73" t="n">
        <v>1</v>
      </c>
      <c r="I73" t="n">
        <v>0.8993</v>
      </c>
      <c r="J73" t="n">
        <v>0</v>
      </c>
      <c r="K73" t="inlineStr">
        <is>
          <t>giao trinh Luat lao dong CB 2005 (1) tr.92-93 (0.8993)
ILO-VCCI_Labour-Law-Guide-Book-V04-Final tr.53-53 (0.872)
luu-ban-nhap-tu-dong-3-4 tr.426-426 (0.7889)
giao trinh Luat lao dong CB 2005 (1) tr.91-91 (0.6221)
luu-ban-nhap-tu-dong-3-4 tr.40-40 (0.5988)</t>
        </is>
      </c>
    </row>
    <row r="74">
      <c r="A74" t="inlineStr">
        <is>
          <t>LAW_D_013</t>
        </is>
      </c>
      <c r="B74" t="inlineStr">
        <is>
          <t>ILO-VCCI_Labour-Law-Guide-Book-V04-Final</t>
        </is>
      </c>
      <c r="C74" t="inlineStr">
        <is>
          <t>Navigation</t>
        </is>
      </c>
      <c r="D74" t="inlineStr">
        <is>
          <t>Medium</t>
        </is>
      </c>
      <c r="E74" t="n">
        <v>0</v>
      </c>
      <c r="F74" t="n">
        <v>0</v>
      </c>
      <c r="G74" t="b">
        <v>0</v>
      </c>
      <c r="H74" t="n">
        <v>0</v>
      </c>
      <c r="I74" t="n">
        <v>0</v>
      </c>
      <c r="J74" t="n">
        <v>1</v>
      </c>
      <c r="K74" t="inlineStr"/>
    </row>
    <row r="75">
      <c r="A75" t="inlineStr">
        <is>
          <t>LAW_D_014</t>
        </is>
      </c>
      <c r="B75" t="inlineStr">
        <is>
          <t>ILO-VCCI_Labour-Law-Guide-Book-V04-Final</t>
        </is>
      </c>
      <c r="C75" t="inlineStr">
        <is>
          <t>Scope</t>
        </is>
      </c>
      <c r="D75" t="inlineStr">
        <is>
          <t>Medium</t>
        </is>
      </c>
      <c r="E75" t="n">
        <v>1</v>
      </c>
      <c r="F75" t="n">
        <v>1</v>
      </c>
      <c r="H75" t="n">
        <v>1</v>
      </c>
      <c r="I75" t="n">
        <v>0.9962</v>
      </c>
      <c r="J75" t="n">
        <v>0</v>
      </c>
      <c r="K75" t="inlineStr">
        <is>
          <t>ILO-VCCI_Labour-Law-Guide-Book-V04-Final tr.4-4 (0.9962)
luu-ban-nhap-tu-dong-3-4 tr.170-170 (0.639)
ILO-VCCI_Labour-Law-Guide-Book-V04-Final tr.131-131 (0.6096)
Văn-bản-hợp-nhất-18-VBHN-VPQH tr.22-22 (0.4841)
luu-ban-nhap-tu-dong-3-4 tr.363-363 (0.4912)</t>
        </is>
      </c>
    </row>
    <row r="76">
      <c r="A76" t="inlineStr">
        <is>
          <t>LAW_D_015</t>
        </is>
      </c>
      <c r="B76" t="inlineStr">
        <is>
          <t>ILO-VCCI_Labour-Law-Guide-Book-V04-Final</t>
        </is>
      </c>
      <c r="C76" t="inlineStr">
        <is>
          <t>Multi-hop</t>
        </is>
      </c>
      <c r="D76" t="inlineStr">
        <is>
          <t>Hard</t>
        </is>
      </c>
      <c r="E76" t="n">
        <v>1</v>
      </c>
      <c r="F76" t="n">
        <v>1</v>
      </c>
      <c r="G76" t="b">
        <v>0</v>
      </c>
      <c r="H76" t="n">
        <v>0.6666666666666666</v>
      </c>
      <c r="I76" t="n">
        <v>0.7433</v>
      </c>
      <c r="J76" t="n">
        <v>0</v>
      </c>
      <c r="K76" t="inlineStr">
        <is>
          <t>ILO-VCCI_Labour-Law-Guide-Book-V04-Final tr.36-36 (0.7433)
ILO-VCCI_Labour-Law-Guide-Book-V04-Final tr.38-38 (0.642)
ILO-VCCI_Labour-Law-Guide-Book-V04-Final tr.33-33 (0.6049)
ILO-VCCI_Labour-Law-Guide-Book-V04-Final tr.6-6 (0.5582)
ILO-VCCI_Labour-Law-Guide-Book-V04-Final tr.38-38 (0.4097)</t>
        </is>
      </c>
    </row>
    <row r="77">
      <c r="A77" t="inlineStr">
        <is>
          <t>LAW_D_016</t>
        </is>
      </c>
      <c r="B77" t="inlineStr">
        <is>
          <t>ILO-VCCI_Labour-Law-Guide-Book-V04-Final</t>
        </is>
      </c>
      <c r="C77" t="inlineStr">
        <is>
          <t>Multi-hop</t>
        </is>
      </c>
      <c r="D77" t="inlineStr">
        <is>
          <t>Hard</t>
        </is>
      </c>
      <c r="E77" t="n">
        <v>1</v>
      </c>
      <c r="F77" t="n">
        <v>1</v>
      </c>
      <c r="G77" t="b">
        <v>1</v>
      </c>
      <c r="H77" t="n">
        <v>1</v>
      </c>
      <c r="I77" t="n">
        <v>0.7563</v>
      </c>
      <c r="J77" t="n">
        <v>0</v>
      </c>
      <c r="K77" t="inlineStr">
        <is>
          <t>ILO-VCCI_Labour-Law-Guide-Book-V04-Final tr.4-4 (0.7563)
ILO-VCCI_Labour-Law-Guide-Book-V04-Final tr.101-101 (0.7003)
luu-ban-nhap-tu-dong-3-4 tr.424-425 (0.4553)
ILO-VCCI_Labour-Law-Guide-Book-V04-Final tr.4-4 (0.3808)
so-tay-kien-thuc-phap-luat-lao-dong-cdi tr.19-19 (0.3533)</t>
        </is>
      </c>
    </row>
    <row r="78">
      <c r="A78" t="inlineStr">
        <is>
          <t>LAW_D_017</t>
        </is>
      </c>
      <c r="B78" t="inlineStr">
        <is>
          <t>ILO-VCCI_Labour-Law-Guide-Book-V04-Final</t>
        </is>
      </c>
      <c r="C78" t="inlineStr">
        <is>
          <t>Comparison</t>
        </is>
      </c>
      <c r="D78" t="inlineStr">
        <is>
          <t>Hard</t>
        </is>
      </c>
      <c r="E78" t="n">
        <v>0</v>
      </c>
      <c r="F78" t="n">
        <v>0</v>
      </c>
      <c r="H78" t="n">
        <v>0</v>
      </c>
      <c r="I78" t="n">
        <v>0</v>
      </c>
      <c r="J78" t="n">
        <v>1</v>
      </c>
      <c r="K78" t="inlineStr"/>
    </row>
    <row r="79">
      <c r="A79" t="inlineStr">
        <is>
          <t>LAW_D_018</t>
        </is>
      </c>
      <c r="B79" t="inlineStr">
        <is>
          <t>ILO-VCCI_Labour-Law-Guide-Book-V04-Final</t>
        </is>
      </c>
      <c r="C79" t="inlineStr">
        <is>
          <t>Source-awareness</t>
        </is>
      </c>
      <c r="D79" t="inlineStr">
        <is>
          <t>Hard</t>
        </is>
      </c>
      <c r="E79" t="n">
        <v>1</v>
      </c>
      <c r="F79" t="n">
        <v>1</v>
      </c>
      <c r="H79" t="n">
        <v>0.25</v>
      </c>
      <c r="I79" t="n">
        <v>0.6836</v>
      </c>
      <c r="J79" t="n">
        <v>0</v>
      </c>
      <c r="K79" t="inlineStr">
        <is>
          <t>ILO-VCCI_Labour-Law-Guide-Book-V04-Final tr.4-4 (0.6836)
ILO-VCCI_Labour-Law-Guide-Book-V04-Final tr.131-131 (0.5247)
ILO-VCCI_Labour-Law-Guide-Book-V04-Final tr.3-3 (0.3804)</t>
        </is>
      </c>
    </row>
    <row r="80">
      <c r="A80" t="inlineStr">
        <is>
          <t>LAW_D_019</t>
        </is>
      </c>
      <c r="B80" t="inlineStr">
        <is>
          <t>ILO-VCCI_Labour-Law-Guide-Book-V04-Final</t>
        </is>
      </c>
      <c r="C80" t="inlineStr">
        <is>
          <t>Synthesis</t>
        </is>
      </c>
      <c r="D80" t="inlineStr">
        <is>
          <t>Hard</t>
        </is>
      </c>
      <c r="E80" t="n">
        <v>1</v>
      </c>
      <c r="F80" t="n">
        <v>1</v>
      </c>
      <c r="G80" t="b">
        <v>1</v>
      </c>
      <c r="H80" t="n">
        <v>0.6</v>
      </c>
      <c r="I80" t="n">
        <v>0.8133</v>
      </c>
      <c r="J80" t="n">
        <v>0</v>
      </c>
      <c r="K80" t="inlineStr">
        <is>
          <t>ILO-VCCI_Labour-Law-Guide-Book-V04-Final tr.4-4 (0.8133)
ILO-VCCI_Labour-Law-Guide-Book-V04-Final tr.131-131 (0.7355)
ILO-VCCI_Labour-Law-Guide-Book-V04-Final tr.3-3 (0.6454)
ILO-VCCI_Labour-Law-Guide-Book-V04-Final tr.4-4 (0.4033)</t>
        </is>
      </c>
    </row>
    <row r="81">
      <c r="A81" t="inlineStr">
        <is>
          <t>LAW_D_020</t>
        </is>
      </c>
      <c r="B81" t="inlineStr">
        <is>
          <t>ILO-VCCI_Labour-Law-Guide-Book-V04-Final</t>
        </is>
      </c>
      <c r="C81" t="inlineStr">
        <is>
          <t>Scenario-based</t>
        </is>
      </c>
      <c r="D81" t="inlineStr">
        <is>
          <t>Hard</t>
        </is>
      </c>
      <c r="E81" t="n">
        <v>0</v>
      </c>
      <c r="F81" t="n">
        <v>0</v>
      </c>
      <c r="G81" t="b">
        <v>0</v>
      </c>
      <c r="H81" t="n">
        <v>0</v>
      </c>
      <c r="I81" t="n">
        <v>0</v>
      </c>
      <c r="J81" t="n">
        <v>1</v>
      </c>
      <c r="K81" t="inlineStr"/>
    </row>
    <row r="82">
      <c r="A82" t="inlineStr">
        <is>
          <t>LAW_E_001</t>
        </is>
      </c>
      <c r="B82" t="inlineStr">
        <is>
          <t>Văn-bản-hợp-nhất-18-VBHN-VPQH</t>
        </is>
      </c>
      <c r="C82" t="inlineStr">
        <is>
          <t>Direct Fact</t>
        </is>
      </c>
      <c r="D82" t="inlineStr">
        <is>
          <t>Easy</t>
        </is>
      </c>
      <c r="E82" t="n">
        <v>0</v>
      </c>
      <c r="F82" t="n">
        <v>1</v>
      </c>
      <c r="G82" t="b">
        <v>1</v>
      </c>
      <c r="H82" t="n">
        <v>0.5</v>
      </c>
      <c r="I82" t="n">
        <v>0.9834000000000001</v>
      </c>
      <c r="J82" t="n">
        <v>0</v>
      </c>
      <c r="K82" t="inlineStr">
        <is>
          <t>luu-ban-nhap-tu-dong-3-4 tr.432-433 (0.9834)
Văn-bản-hợp-nhất-18-VBHN-VPQH tr.86-86 (0.9673)
luu-ban-nhap-tu-dong-3-4 tr.433-433 (0.9643)
Văn-bản-hợp-nhất-18-VBHN-VPQH tr.1-1 (0.9533)
luu-ban-nhap-tu-dong-3-4 tr.140-140 (0.9513)</t>
        </is>
      </c>
    </row>
    <row r="83">
      <c r="A83" t="inlineStr">
        <is>
          <t>LAW_E_002</t>
        </is>
      </c>
      <c r="B83" t="inlineStr">
        <is>
          <t>Văn-bản-hợp-nhất-18-VBHN-VPQH</t>
        </is>
      </c>
      <c r="C83" t="inlineStr">
        <is>
          <t>Definition</t>
        </is>
      </c>
      <c r="D83" t="inlineStr">
        <is>
          <t>Easy</t>
        </is>
      </c>
      <c r="E83" t="n">
        <v>1</v>
      </c>
      <c r="F83" t="n">
        <v>1</v>
      </c>
      <c r="G83" t="b">
        <v>1</v>
      </c>
      <c r="H83" t="n">
        <v>1</v>
      </c>
      <c r="I83" t="n">
        <v>0.9878</v>
      </c>
      <c r="J83" t="n">
        <v>0</v>
      </c>
      <c r="K83" t="inlineStr">
        <is>
          <t>Văn-bản-hợp-nhất-18-VBHN-VPQH tr.2-2 (0.9878)
luu-ban-nhap-tu-dong-3-4 tr.69-69 (0.9818)
luu-ban-nhap-tu-dong-3-4 tr.272-272 (0.9734)
luu-ban-nhap-tu-dong-3-4 tr.526-526 (0.9683)
luu-ban-nhap-tu-dong-3-4 tr.336-336 (0.796)</t>
        </is>
      </c>
    </row>
    <row r="84">
      <c r="A84" t="inlineStr">
        <is>
          <t>LAW_E_003</t>
        </is>
      </c>
      <c r="B84" t="inlineStr">
        <is>
          <t>Văn-bản-hợp-nhất-18-VBHN-VPQH</t>
        </is>
      </c>
      <c r="C84" t="inlineStr">
        <is>
          <t>Direct Fact</t>
        </is>
      </c>
      <c r="D84" t="inlineStr">
        <is>
          <t>Easy</t>
        </is>
      </c>
      <c r="E84" t="n">
        <v>1</v>
      </c>
      <c r="F84" t="n">
        <v>1</v>
      </c>
      <c r="G84" t="b">
        <v>1</v>
      </c>
      <c r="H84" t="n">
        <v>0.5</v>
      </c>
      <c r="I84" t="n">
        <v>0.8727</v>
      </c>
      <c r="J84" t="n">
        <v>0</v>
      </c>
      <c r="K84" t="inlineStr">
        <is>
          <t>Văn-bản-hợp-nhất-18-VBHN-VPQH tr.2-2 (0.8727)
giao trinh Luat lao dong CB 2005 (1) tr.16-16 (0.7096)</t>
        </is>
      </c>
    </row>
    <row r="85">
      <c r="A85" t="inlineStr">
        <is>
          <t>LAW_E_004</t>
        </is>
      </c>
      <c r="B85" t="inlineStr">
        <is>
          <t>Văn-bản-hợp-nhất-18-VBHN-VPQH</t>
        </is>
      </c>
      <c r="C85" t="inlineStr">
        <is>
          <t>Definition</t>
        </is>
      </c>
      <c r="D85" t="inlineStr">
        <is>
          <t>Easy</t>
        </is>
      </c>
      <c r="E85" t="n">
        <v>0</v>
      </c>
      <c r="F85" t="n">
        <v>1</v>
      </c>
      <c r="H85" t="n">
        <v>1</v>
      </c>
      <c r="I85" t="n">
        <v>0.9913999999999999</v>
      </c>
      <c r="J85" t="n">
        <v>0</v>
      </c>
      <c r="K85" t="inlineStr">
        <is>
          <t>giao trinh Luat lao dong CB 2005 (1) tr.4-5 (0.9914)
Văn-bản-hợp-nhất-18-VBHN-VPQH tr.2-2 (0.9832)
giao trinh Luat lao dong CB 2005 (1) tr.196-196 (0.9675)
giao trinh Luat lao dong CB 2005 (1) tr.3-3 (0.9593)
giao trinh Luat lao dong CB 2005 (1) tr.3-4 (0.9532)</t>
        </is>
      </c>
    </row>
    <row r="86">
      <c r="A86" t="inlineStr">
        <is>
          <t>LAW_E_005</t>
        </is>
      </c>
      <c r="B86" t="inlineStr">
        <is>
          <t>Văn-bản-hợp-nhất-18-VBHN-VPQH</t>
        </is>
      </c>
      <c r="C86" t="inlineStr">
        <is>
          <t>Direct Fact</t>
        </is>
      </c>
      <c r="D86" t="inlineStr">
        <is>
          <t>Easy</t>
        </is>
      </c>
      <c r="E86" t="n">
        <v>1</v>
      </c>
      <c r="F86" t="n">
        <v>1</v>
      </c>
      <c r="G86" t="b">
        <v>1</v>
      </c>
      <c r="H86" t="n">
        <v>1</v>
      </c>
      <c r="I86" t="n">
        <v>0.8688</v>
      </c>
      <c r="J86" t="n">
        <v>0</v>
      </c>
      <c r="K86" t="inlineStr">
        <is>
          <t>Văn-bản-hợp-nhất-18-VBHN-VPQH tr.8-8 (0.8688)
luu-ban-nhap-tu-dong-3-4 tr.455-455 (0.8781)
ILO-VCCI_Labour-Law-Guide-Book-V04-Final tr.43-44 (0.7964)
so-tay-kien-thuc-phap-luat-lao-dong-cdi tr.49-49 (0.7323)
ILO-VCCI_Labour-Law-Guide-Book-V04-Final tr.29-30 (0.4655)</t>
        </is>
      </c>
    </row>
    <row r="87">
      <c r="A87" t="inlineStr">
        <is>
          <t>LAW_E_006</t>
        </is>
      </c>
      <c r="B87" t="inlineStr">
        <is>
          <t>Văn-bản-hợp-nhất-18-VBHN-VPQH</t>
        </is>
      </c>
      <c r="C87" t="inlineStr">
        <is>
          <t>Direct Fact</t>
        </is>
      </c>
      <c r="D87" t="inlineStr">
        <is>
          <t>Easy</t>
        </is>
      </c>
      <c r="E87" t="n">
        <v>0</v>
      </c>
      <c r="F87" t="n">
        <v>1</v>
      </c>
      <c r="H87" t="n">
        <v>1</v>
      </c>
      <c r="I87" t="n">
        <v>0.9903999999999999</v>
      </c>
      <c r="J87" t="n">
        <v>0</v>
      </c>
      <c r="K87" t="inlineStr">
        <is>
          <t>ILO-VCCI_Labour-Law-Guide-Book-V04-Final tr.15-16 (0.9904)
Văn-bản-hợp-nhất-18-VBHN-VPQH tr.9-9 (0.9774)
ILO-VCCI_Labour-Law-Guide-Book-V04-Final tr.28-28 (0.9164)
ILO-VCCI_Labour-Law-Guide-Book-V04-Final tr.30-30 (0.8942)
ILO-VCCI_Labour-Law-Guide-Book-V04-Final tr.27-27 (0.7971)</t>
        </is>
      </c>
    </row>
    <row r="88">
      <c r="A88" t="inlineStr">
        <is>
          <t>LAW_E_007</t>
        </is>
      </c>
      <c r="B88" t="inlineStr">
        <is>
          <t>Văn-bản-hợp-nhất-18-VBHN-VPQH</t>
        </is>
      </c>
      <c r="C88" t="inlineStr">
        <is>
          <t>Direct Fact</t>
        </is>
      </c>
      <c r="D88" t="inlineStr">
        <is>
          <t>Easy</t>
        </is>
      </c>
      <c r="E88" t="n">
        <v>0</v>
      </c>
      <c r="F88" t="n">
        <v>1</v>
      </c>
      <c r="G88" t="b">
        <v>1</v>
      </c>
      <c r="H88" t="n">
        <v>0.5</v>
      </c>
      <c r="I88" t="n">
        <v>0.9967</v>
      </c>
      <c r="J88" t="n">
        <v>0</v>
      </c>
      <c r="K88" t="inlineStr">
        <is>
          <t>ILO-VCCI_Labour-Law-Guide-Book-V04-Final tr.13-13 (0.9967)
Văn-bản-hợp-nhất-18-VBHN-VPQH tr.11-11 (0.995)
ILO-VCCI_Labour-Law-Guide-Book-V04-Final tr.12-12 (0.5108)
ILO-VCCI_Labour-Law-Guide-Book-V04-Final tr.14-14 (0.4038)
giao trinh Luat lao dong CB 2005 (1) tr.43-44 (0.4031)</t>
        </is>
      </c>
    </row>
    <row r="89">
      <c r="A89" t="inlineStr">
        <is>
          <t>LAW_E_008</t>
        </is>
      </c>
      <c r="B89" t="inlineStr">
        <is>
          <t>Văn-bản-hợp-nhất-18-VBHN-VPQH</t>
        </is>
      </c>
      <c r="C89" t="inlineStr">
        <is>
          <t>Rule</t>
        </is>
      </c>
      <c r="D89" t="inlineStr">
        <is>
          <t>Medium</t>
        </is>
      </c>
      <c r="E89" t="n">
        <v>0</v>
      </c>
      <c r="F89" t="n">
        <v>1</v>
      </c>
      <c r="G89" t="b">
        <v>1</v>
      </c>
      <c r="H89" t="n">
        <v>1</v>
      </c>
      <c r="I89" t="n">
        <v>0.998</v>
      </c>
      <c r="J89" t="n">
        <v>0</v>
      </c>
      <c r="K89" t="inlineStr">
        <is>
          <t>ILO-VCCI_Labour-Law-Guide-Book-V04-Final tr.12-13 (0.998)
ILO-VCCI_Labour-Law-Guide-Book-V04-Final tr.12-12 (0.9963)
Văn-bản-hợp-nhất-18-VBHN-VPQH tr.11-11 (0.9916)
ILO-VCCI_Labour-Law-Guide-Book-V04-Final tr.13-13 (0.9294)
luu-ban-nhap-tu-dong-3-4 tr.412-412 (0.7964)</t>
        </is>
      </c>
    </row>
    <row r="90">
      <c r="A90" t="inlineStr">
        <is>
          <t>LAW_E_009</t>
        </is>
      </c>
      <c r="B90" t="inlineStr">
        <is>
          <t>Văn-bản-hợp-nhất-18-VBHN-VPQH</t>
        </is>
      </c>
      <c r="C90" t="inlineStr">
        <is>
          <t>Rule</t>
        </is>
      </c>
      <c r="D90" t="inlineStr">
        <is>
          <t>Medium</t>
        </is>
      </c>
      <c r="E90" t="n">
        <v>0</v>
      </c>
      <c r="F90" t="n">
        <v>1</v>
      </c>
      <c r="G90" t="b">
        <v>1</v>
      </c>
      <c r="H90" t="n">
        <v>1</v>
      </c>
      <c r="I90" t="n">
        <v>0.9957</v>
      </c>
      <c r="J90" t="n">
        <v>0</v>
      </c>
      <c r="K90" t="inlineStr">
        <is>
          <t>ILO-VCCI_Labour-Law-Guide-Book-V04-Final tr.47-48 (0.9957)
Văn-bản-hợp-nhất-18-VBHN-VPQH tr.12-13 (0.9819)
luu-ban-nhap-tu-dong-3-4 tr.418-418 (0.9911)
luu-ban-nhap-tu-dong-3-4 tr.78-78 (0.9904)
Văn-bản-hợp-nhất-18-VBHN-VPQH tr.12-12 (0.9796)</t>
        </is>
      </c>
    </row>
    <row r="91">
      <c r="A91" t="inlineStr">
        <is>
          <t>LAW_E_010</t>
        </is>
      </c>
      <c r="B91" t="inlineStr">
        <is>
          <t>Văn-bản-hợp-nhất-18-VBHN-VPQH</t>
        </is>
      </c>
      <c r="C91" t="inlineStr">
        <is>
          <t>Rule</t>
        </is>
      </c>
      <c r="D91" t="inlineStr">
        <is>
          <t>Medium</t>
        </is>
      </c>
      <c r="E91" t="n">
        <v>0</v>
      </c>
      <c r="F91" t="n">
        <v>0</v>
      </c>
      <c r="G91" t="b">
        <v>0</v>
      </c>
      <c r="H91" t="n">
        <v>1</v>
      </c>
      <c r="I91" t="n">
        <v>0.9982</v>
      </c>
      <c r="J91" t="n">
        <v>0</v>
      </c>
      <c r="K91" t="inlineStr">
        <is>
          <t>ILO-VCCI_Labour-Law-Guide-Book-V04-Final tr.32-32 (0.9982)
ILO-VCCI_Labour-Law-Guide-Book-V04-Final tr.27-28 (0.9978)
ILO-VCCI_Labour-Law-Guide-Book-V04-Final tr.30-30 (0.9969)
ILO-VCCI_Labour-Law-Guide-Book-V04-Final tr.36-36 (0.9949)
ILO-VCCI_Labour-Law-Guide-Book-V04-Final tr.27-27 (0.9935)</t>
        </is>
      </c>
    </row>
    <row r="92">
      <c r="A92" t="inlineStr">
        <is>
          <t>LAW_E_011</t>
        </is>
      </c>
      <c r="B92" t="inlineStr">
        <is>
          <t>Văn-bản-hợp-nhất-18-VBHN-VPQH</t>
        </is>
      </c>
      <c r="C92" t="inlineStr">
        <is>
          <t>Rule</t>
        </is>
      </c>
      <c r="D92" t="inlineStr">
        <is>
          <t>Medium</t>
        </is>
      </c>
      <c r="E92" t="n">
        <v>0</v>
      </c>
      <c r="F92" t="n">
        <v>0</v>
      </c>
      <c r="G92" t="b">
        <v>0</v>
      </c>
      <c r="H92" t="n">
        <v>0.6666666666666666</v>
      </c>
      <c r="I92" t="n">
        <v>0.9968</v>
      </c>
      <c r="J92" t="n">
        <v>0</v>
      </c>
      <c r="K92" t="inlineStr">
        <is>
          <t>ILO-VCCI_Labour-Law-Guide-Book-V04-Final tr.28-28 (0.9968)
ILO-VCCI_Labour-Law-Guide-Book-V04-Final tr.27-28 (0.9949)
ILO-VCCI_Labour-Law-Guide-Book-V04-Final tr.30-30 (0.9942)
ILO-VCCI_Labour-Law-Guide-Book-V04-Final tr.32-32 (0.9904)
giao trinh Luat lao dong CB 2005 (1) tr.41-41 (0.9849)</t>
        </is>
      </c>
    </row>
    <row r="93">
      <c r="A93" t="inlineStr">
        <is>
          <t>LAW_E_012</t>
        </is>
      </c>
      <c r="B93" t="inlineStr">
        <is>
          <t>Văn-bản-hợp-nhất-18-VBHN-VPQH</t>
        </is>
      </c>
      <c r="C93" t="inlineStr">
        <is>
          <t>Rule</t>
        </is>
      </c>
      <c r="D93" t="inlineStr">
        <is>
          <t>Medium</t>
        </is>
      </c>
      <c r="E93" t="n">
        <v>1</v>
      </c>
      <c r="F93" t="n">
        <v>1</v>
      </c>
      <c r="G93" t="b">
        <v>1</v>
      </c>
      <c r="H93" t="n">
        <v>0.6666666666666666</v>
      </c>
      <c r="I93" t="n">
        <v>0.9807</v>
      </c>
      <c r="J93" t="n">
        <v>0</v>
      </c>
      <c r="K93" t="inlineStr">
        <is>
          <t>Văn-bản-hợp-nhất-18-VBHN-VPQH tr.20-20 (0.9807)
luu-ban-nhap-tu-dong-3-4 tr.85-85 (0.9631)
giao trinh Luat lao dong CB 2005 (1) tr.43-43 (0.9612)
so-tay-kien-thuc-phap-luat-lao-dong-cdi tr.16-16 (0.9421)
giao trinh Luat lao dong CB 2005 (1) tr.44-44 (0.9375)</t>
        </is>
      </c>
    </row>
    <row r="94">
      <c r="A94" t="inlineStr">
        <is>
          <t>LAW_E_013</t>
        </is>
      </c>
      <c r="B94" t="inlineStr">
        <is>
          <t>Văn-bản-hợp-nhất-18-VBHN-VPQH</t>
        </is>
      </c>
      <c r="C94" t="inlineStr">
        <is>
          <t>Rule</t>
        </is>
      </c>
      <c r="D94" t="inlineStr">
        <is>
          <t>Medium</t>
        </is>
      </c>
      <c r="E94" t="n">
        <v>0</v>
      </c>
      <c r="F94" t="n">
        <v>1</v>
      </c>
      <c r="H94" t="n">
        <v>0.3333333333333333</v>
      </c>
      <c r="I94" t="n">
        <v>0.9993</v>
      </c>
      <c r="J94" t="n">
        <v>0</v>
      </c>
      <c r="K94" t="inlineStr">
        <is>
          <t>luu-ban-nhap-tu-dong-3-4 tr.19-20 (0.9993)
Văn-bản-hợp-nhất-18-VBHN-VPQH tr.20-21 (0.9933)
giao trinh Luat lao dong CB 2005 (1) tr.28-28 (0.9622)
luu-ban-nhap-tu-dong-3-4 tr.434-434 (0.9522)
luu-ban-nhap-tu-dong-3-4 tr.235-235 (0.914)</t>
        </is>
      </c>
    </row>
    <row r="95">
      <c r="A95" t="inlineStr">
        <is>
          <t>LAW_E_014</t>
        </is>
      </c>
      <c r="B95" t="inlineStr">
        <is>
          <t>Văn-bản-hợp-nhất-18-VBHN-VPQH</t>
        </is>
      </c>
      <c r="C95" t="inlineStr">
        <is>
          <t>Definition</t>
        </is>
      </c>
      <c r="D95" t="inlineStr">
        <is>
          <t>Medium</t>
        </is>
      </c>
      <c r="E95" t="n">
        <v>0</v>
      </c>
      <c r="F95" t="n">
        <v>1</v>
      </c>
      <c r="G95" t="b">
        <v>1</v>
      </c>
      <c r="H95" t="n">
        <v>1</v>
      </c>
      <c r="I95" t="n">
        <v>0.9862</v>
      </c>
      <c r="J95" t="n">
        <v>0</v>
      </c>
      <c r="K95" t="inlineStr">
        <is>
          <t>luu-ban-nhap-tu-dong-3-4 tr.97-97 (0.9862)
Văn-bản-hợp-nhất-18-VBHN-VPQH tr.35-35 (0.9717)
luu-ban-nhap-tu-dong-3-4 tr.423-423 (0.9651)</t>
        </is>
      </c>
    </row>
    <row r="96">
      <c r="A96" t="inlineStr">
        <is>
          <t>LAW_E_015</t>
        </is>
      </c>
      <c r="B96" t="inlineStr">
        <is>
          <t>Văn-bản-hợp-nhất-18-VBHN-VPQH</t>
        </is>
      </c>
      <c r="C96" t="inlineStr">
        <is>
          <t>Scenario-based</t>
        </is>
      </c>
      <c r="D96" t="inlineStr">
        <is>
          <t>Hard</t>
        </is>
      </c>
      <c r="E96" t="n">
        <v>1</v>
      </c>
      <c r="F96" t="n">
        <v>1</v>
      </c>
      <c r="G96" t="b">
        <v>1</v>
      </c>
      <c r="H96" t="n">
        <v>1</v>
      </c>
      <c r="I96" t="n">
        <v>0.9833</v>
      </c>
      <c r="J96" t="n">
        <v>0</v>
      </c>
      <c r="K96" t="inlineStr">
        <is>
          <t>Văn-bản-hợp-nhất-18-VBHN-VPQH tr.38-38 (0.9833)
ILO-VCCI_Labour-Law-Guide-Book-V04-Final tr.100-100 (0.8883)
so-tay-kien-thuc-phap-luat-lao-dong-cdi tr.19-19 (0.8499)
ILO-VCCI_Labour-Law-Guide-Book-V04-Final tr.101-101 (0.8091)
ILO-VCCI_Labour-Law-Guide-Book-V04-Final tr.99-100 (0.6401)</t>
        </is>
      </c>
    </row>
    <row r="97">
      <c r="A97" t="inlineStr">
        <is>
          <t>LAW_E_016</t>
        </is>
      </c>
      <c r="B97" t="inlineStr">
        <is>
          <t>Văn-bản-hợp-nhất-18-VBHN-VPQH</t>
        </is>
      </c>
      <c r="C97" t="inlineStr">
        <is>
          <t>Scenario-based</t>
        </is>
      </c>
      <c r="D97" t="inlineStr">
        <is>
          <t>Hard</t>
        </is>
      </c>
      <c r="E97" t="n">
        <v>1</v>
      </c>
      <c r="F97" t="n">
        <v>1</v>
      </c>
      <c r="G97" t="b">
        <v>1</v>
      </c>
      <c r="H97" t="n">
        <v>0.6666666666666666</v>
      </c>
      <c r="I97" t="n">
        <v>0.9883999999999999</v>
      </c>
      <c r="J97" t="n">
        <v>0</v>
      </c>
      <c r="K97" t="inlineStr">
        <is>
          <t>Văn-bản-hợp-nhất-18-VBHN-VPQH tr.38-38 (0.9884)
ILO-VCCI_Labour-Law-Guide-Book-V04-Final tr.100-100 (0.95)
ILO-VCCI_Labour-Law-Guide-Book-V04-Final tr.101-101 (0.9366)
so-tay-kien-thuc-phap-luat-lao-dong-cdi tr.19-19 (0.8093)
luu-ban-nhap-tu-dong-3-4 tr.424-424 (0.7441)</t>
        </is>
      </c>
    </row>
    <row r="98">
      <c r="A98" t="inlineStr">
        <is>
          <t>LAW_E_017</t>
        </is>
      </c>
      <c r="B98" t="inlineStr">
        <is>
          <t>Văn-bản-hợp-nhất-18-VBHN-VPQH</t>
        </is>
      </c>
      <c r="C98" t="inlineStr">
        <is>
          <t>Multi-hop</t>
        </is>
      </c>
      <c r="D98" t="inlineStr">
        <is>
          <t>Hard</t>
        </is>
      </c>
      <c r="E98" t="n">
        <v>1</v>
      </c>
      <c r="F98" t="n">
        <v>1</v>
      </c>
      <c r="G98" t="b">
        <v>1</v>
      </c>
      <c r="H98" t="n">
        <v>0.3333333333333333</v>
      </c>
      <c r="I98" t="n">
        <v>0.7509</v>
      </c>
      <c r="J98" t="n">
        <v>0</v>
      </c>
      <c r="K98" t="inlineStr">
        <is>
          <t>Văn-bản-hợp-nhất-18-VBHN-VPQH tr.40-40 (0.7509)
luu-ban-nhap-tu-dong-3-4 tr.101-101 (0.6542)
ILO-VCCI_Labour-Law-Guide-Book-V04-Final tr.107-107 (0.4888)
ILO-VCCI_Labour-Law-Guide-Book-V04-Final tr.112-112 (0.4459)</t>
        </is>
      </c>
    </row>
    <row r="99">
      <c r="A99" t="inlineStr">
        <is>
          <t>LAW_E_018</t>
        </is>
      </c>
      <c r="B99" t="inlineStr">
        <is>
          <t>Văn-bản-hợp-nhất-18-VBHN-VPQH</t>
        </is>
      </c>
      <c r="C99" t="inlineStr">
        <is>
          <t>Multi-hop</t>
        </is>
      </c>
      <c r="D99" t="inlineStr">
        <is>
          <t>Hard</t>
        </is>
      </c>
      <c r="E99" t="n">
        <v>0</v>
      </c>
      <c r="F99" t="n">
        <v>1</v>
      </c>
      <c r="G99" t="b">
        <v>1</v>
      </c>
      <c r="H99" t="n">
        <v>1</v>
      </c>
      <c r="I99" t="n">
        <v>0.9961</v>
      </c>
      <c r="J99" t="n">
        <v>0</v>
      </c>
      <c r="K99" t="inlineStr">
        <is>
          <t>so-tay-kien-thuc-phap-luat-lao-dong-cdi tr.24-24 (0.9961)
ILO-VCCI_Labour-Law-Guide-Book-V04-Final tr.115-115 (0.9941)
ILO-VCCI_Labour-Law-Guide-Book-V04-Final tr.116-116 (0.9813)
so-tay-kien-thuc-phap-luat-lao-dong-cdi tr.24-24 (0.9795)
Văn-bản-hợp-nhất-18-VBHN-VPQH tr.42-43 (0.9781)</t>
        </is>
      </c>
    </row>
    <row r="100">
      <c r="A100" t="inlineStr">
        <is>
          <t>LAW_E_019</t>
        </is>
      </c>
      <c r="B100" t="inlineStr">
        <is>
          <t>Văn-bản-hợp-nhất-18-VBHN-VPQH</t>
        </is>
      </c>
      <c r="C100" t="inlineStr">
        <is>
          <t>Procedure</t>
        </is>
      </c>
      <c r="D100" t="inlineStr">
        <is>
          <t>Hard</t>
        </is>
      </c>
      <c r="E100" t="n">
        <v>0</v>
      </c>
      <c r="F100" t="n">
        <v>0</v>
      </c>
      <c r="G100" t="b">
        <v>0</v>
      </c>
      <c r="H100" t="n">
        <v>1</v>
      </c>
      <c r="I100" t="n">
        <v>0.9312</v>
      </c>
      <c r="J100" t="n">
        <v>0</v>
      </c>
      <c r="K100" t="inlineStr">
        <is>
          <t>ILO-VCCI_Labour-Law-Guide-Book-V04-Final tr.54-54 (0.9312)
ILO-VCCI_Labour-Law-Guide-Book-V04-Final tr.53-54 (0.9291)
giao trinh Luat lao dong CB 2005 (1) tr.90-91 (0.9187)
so-tay-kien-thuc-phap-luat-lao-dong-cdi tr.33-33 (0.9056)
ILO-VCCI_Labour-Law-Guide-Book-V04-Final tr.54-54 (0.8585)</t>
        </is>
      </c>
    </row>
    <row r="101">
      <c r="A101" t="inlineStr">
        <is>
          <t>LAW_E_020</t>
        </is>
      </c>
      <c r="B101" t="inlineStr">
        <is>
          <t>Văn-bản-hợp-nhất-18-VBHN-VPQH</t>
        </is>
      </c>
      <c r="C101" t="inlineStr">
        <is>
          <t>Scenario-based</t>
        </is>
      </c>
      <c r="D101" t="inlineStr">
        <is>
          <t>Hard</t>
        </is>
      </c>
      <c r="E101" t="n">
        <v>1</v>
      </c>
      <c r="F101" t="n">
        <v>1</v>
      </c>
      <c r="G101" t="b">
        <v>1</v>
      </c>
      <c r="H101" t="n">
        <v>1</v>
      </c>
      <c r="I101" t="n">
        <v>0.9979</v>
      </c>
      <c r="J101" t="n">
        <v>0</v>
      </c>
      <c r="K101" t="inlineStr">
        <is>
          <t>Văn-bản-hợp-nhất-18-VBHN-VPQH tr.47-48 (0.9979)
so-tay-kien-thuc-phap-luat-lao-dong-cdi tr.33-34 (0.9642)
ILO-VCCI_Labour-Law-Guide-Book-V04-Final tr.24-25 (0.9291)
giao trinh Luat lao dong CB 2005 (1) tr.92-92 (0.8198)
luu-ban-nhap-tu-dong-3-4 tr.107-107 (0.7854)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4" customWidth="1" min="1" max="1"/>
  </cols>
  <sheetData>
    <row r="1">
      <c r="A1" s="8" t="inlineStr">
        <is>
          <t>Retrieval metrics: old vs new</t>
        </is>
      </c>
    </row>
    <row r="2">
      <c r="A2" s="2" t="inlineStr">
        <is>
          <t>Scope</t>
        </is>
      </c>
      <c r="B2" s="2" t="inlineStr">
        <is>
          <t>Doc@1 old</t>
        </is>
      </c>
      <c r="C2" s="2" t="inlineStr">
        <is>
          <t>Doc@1 new</t>
        </is>
      </c>
      <c r="D2" s="2" t="inlineStr">
        <is>
          <t>Doc@5 old</t>
        </is>
      </c>
      <c r="E2" s="2" t="inlineStr">
        <is>
          <t>Doc@5 new</t>
        </is>
      </c>
      <c r="F2" s="2" t="inlineStr">
        <is>
          <t>Page@5 old</t>
        </is>
      </c>
      <c r="G2" s="2" t="inlineStr">
        <is>
          <t>Page@5 new</t>
        </is>
      </c>
      <c r="H2" s="2" t="inlineStr">
        <is>
          <t>Keywords@5 old</t>
        </is>
      </c>
      <c r="I2" s="2" t="inlineStr">
        <is>
          <t>Keywords@5 new</t>
        </is>
      </c>
      <c r="J2" s="2" t="inlineStr">
        <is>
          <t>Refused old</t>
        </is>
      </c>
      <c r="K2" s="2" t="inlineStr">
        <is>
          <t>Refused new</t>
        </is>
      </c>
    </row>
    <row r="3">
      <c r="A3" t="inlineStr">
        <is>
          <t>ALL</t>
        </is>
      </c>
      <c r="B3" s="5" t="n">
        <v>0.31</v>
      </c>
      <c r="C3" s="5" t="n">
        <v>0.53</v>
      </c>
      <c r="D3" s="5" t="n">
        <v>0.47</v>
      </c>
      <c r="E3" s="5" t="n">
        <v>0.71</v>
      </c>
      <c r="F3" s="5" t="n">
        <v>0.3614457831325301</v>
      </c>
      <c r="G3" s="5" t="n">
        <v>0.5180722891566265</v>
      </c>
      <c r="H3" s="5" t="n">
        <v>0.435547619047619</v>
      </c>
      <c r="I3" s="5" t="n">
        <v>0.6228095238095238</v>
      </c>
      <c r="J3" s="5" t="n">
        <v>0.29</v>
      </c>
      <c r="K3" s="5" t="n">
        <v>0.18</v>
      </c>
    </row>
    <row r="4">
      <c r="A4" t="inlineStr">
        <is>
          <t>giao trinh Luat lao dong CB 2005 (1)</t>
        </is>
      </c>
      <c r="B4" s="5" t="n">
        <v>0</v>
      </c>
      <c r="C4" s="5" t="n">
        <v>0.75</v>
      </c>
      <c r="D4" s="5" t="n">
        <v>0.05</v>
      </c>
      <c r="E4" s="5" t="n">
        <v>0.9</v>
      </c>
      <c r="F4" s="5" t="n">
        <v>0</v>
      </c>
      <c r="G4" s="5" t="n">
        <v>0.8125</v>
      </c>
      <c r="H4" s="5" t="n">
        <v>0.2604761904761905</v>
      </c>
      <c r="I4" s="5" t="n">
        <v>0.6953571428571428</v>
      </c>
      <c r="J4" s="5" t="n">
        <v>0.35</v>
      </c>
      <c r="K4" s="5" t="n">
        <v>0.05</v>
      </c>
    </row>
    <row r="5">
      <c r="A5" t="inlineStr">
        <is>
          <t>so-tay-kien-thuc-phap-luat-lao-dong-cdi</t>
        </is>
      </c>
      <c r="B5" s="5" t="n">
        <v>0.4</v>
      </c>
      <c r="C5" s="5" t="n">
        <v>0.4</v>
      </c>
      <c r="D5" s="5" t="n">
        <v>0.45</v>
      </c>
      <c r="E5" s="5" t="n">
        <v>0.5</v>
      </c>
      <c r="F5" s="5" t="n">
        <v>0.125</v>
      </c>
      <c r="G5" s="5" t="n">
        <v>0.0625</v>
      </c>
      <c r="H5" s="5" t="n">
        <v>0.4333333333333334</v>
      </c>
      <c r="I5" s="5" t="n">
        <v>0.5083333333333334</v>
      </c>
      <c r="J5" s="5" t="n">
        <v>0.35</v>
      </c>
      <c r="K5" s="5" t="n">
        <v>0.35</v>
      </c>
    </row>
    <row r="6">
      <c r="A6" t="inlineStr">
        <is>
          <t>luu-ban-nhap-tu-dong-3-4</t>
        </is>
      </c>
      <c r="B6" s="5" t="n">
        <v>0.3</v>
      </c>
      <c r="C6" s="5" t="n">
        <v>0.3</v>
      </c>
      <c r="D6" s="5" t="n">
        <v>0.45</v>
      </c>
      <c r="E6" s="5" t="n">
        <v>0.45</v>
      </c>
      <c r="F6" s="5" t="n">
        <v>0.35</v>
      </c>
      <c r="G6" s="5" t="n">
        <v>0.35</v>
      </c>
      <c r="H6" s="5" t="n">
        <v>0.425</v>
      </c>
      <c r="I6" s="5" t="n">
        <v>0.375</v>
      </c>
      <c r="J6" s="5" t="n">
        <v>0.35</v>
      </c>
      <c r="K6" s="5" t="n">
        <v>0.35</v>
      </c>
    </row>
    <row r="7">
      <c r="A7" t="inlineStr">
        <is>
          <t>ILO-VCCI_Labour-Law-Guide-Book-V04-Final</t>
        </is>
      </c>
      <c r="B7" s="5" t="n">
        <v>0.25</v>
      </c>
      <c r="C7" s="5" t="n">
        <v>0.8</v>
      </c>
      <c r="D7" s="5" t="n">
        <v>0.4</v>
      </c>
      <c r="E7" s="5" t="n">
        <v>0.85</v>
      </c>
      <c r="F7" s="5" t="n">
        <v>0.2857142857142857</v>
      </c>
      <c r="G7" s="5" t="n">
        <v>0.5714285714285714</v>
      </c>
      <c r="H7" s="5" t="n">
        <v>0.3214285714285714</v>
      </c>
      <c r="I7" s="5" t="n">
        <v>0.7270238095238095</v>
      </c>
      <c r="J7" s="5" t="n">
        <v>0.4</v>
      </c>
      <c r="K7" s="5" t="n">
        <v>0.15</v>
      </c>
    </row>
    <row r="8">
      <c r="A8" t="inlineStr">
        <is>
          <t>Văn-bản-hợp-nhất-18-VBHN-VPQH</t>
        </is>
      </c>
      <c r="B8" s="5" t="n">
        <v>0.6</v>
      </c>
      <c r="C8" s="5" t="n">
        <v>0.4</v>
      </c>
      <c r="D8" s="5" t="n">
        <v>1</v>
      </c>
      <c r="E8" s="5" t="n">
        <v>0.85</v>
      </c>
      <c r="F8" s="5" t="n">
        <v>1</v>
      </c>
      <c r="G8" s="5" t="n">
        <v>0.8235294117647058</v>
      </c>
      <c r="H8" s="5" t="n">
        <v>0.7374999999999999</v>
      </c>
      <c r="I8" s="5" t="n">
        <v>0.8083333333333332</v>
      </c>
      <c r="J8" s="5" t="n">
        <v>0</v>
      </c>
      <c r="K8" s="5" t="n">
        <v>0</v>
      </c>
    </row>
    <row r="9">
      <c r="A9" t="inlineStr">
        <is>
          <t>Easy</t>
        </is>
      </c>
      <c r="B9" s="5" t="n">
        <v>0.3142857142857143</v>
      </c>
      <c r="C9" s="5" t="n">
        <v>0.6857142857142857</v>
      </c>
      <c r="D9" s="5" t="n">
        <v>0.4857142857142857</v>
      </c>
      <c r="E9" s="5" t="n">
        <v>0.8285714285714286</v>
      </c>
      <c r="F9" s="5" t="n">
        <v>0.3928571428571428</v>
      </c>
      <c r="G9" s="5" t="n">
        <v>0.6785714285714286</v>
      </c>
      <c r="H9" s="5" t="n">
        <v>0.4496598639455783</v>
      </c>
      <c r="I9" s="5" t="n">
        <v>0.7204081632653061</v>
      </c>
      <c r="J9" s="5" t="n">
        <v>0.2857142857142857</v>
      </c>
      <c r="K9" s="5" t="n">
        <v>0.1142857142857143</v>
      </c>
    </row>
    <row r="10">
      <c r="A10" t="inlineStr">
        <is>
          <t>Medium</t>
        </is>
      </c>
      <c r="B10" s="5" t="n">
        <v>0.3428571428571429</v>
      </c>
      <c r="C10" s="5" t="n">
        <v>0.4285714285714285</v>
      </c>
      <c r="D10" s="5" t="n">
        <v>0.5714285714285714</v>
      </c>
      <c r="E10" s="5" t="n">
        <v>0.7714285714285715</v>
      </c>
      <c r="F10" s="5" t="n">
        <v>0.4137931034482759</v>
      </c>
      <c r="G10" s="5" t="n">
        <v>0.4827586206896552</v>
      </c>
      <c r="H10" s="5" t="n">
        <v>0.6023809523809524</v>
      </c>
      <c r="I10" s="5" t="n">
        <v>0.738095238095238</v>
      </c>
      <c r="J10" s="5" t="n">
        <v>0.1428571428571428</v>
      </c>
      <c r="K10" s="5" t="n">
        <v>0.05714285714285714</v>
      </c>
    </row>
    <row r="11">
      <c r="A11" t="inlineStr">
        <is>
          <t>Hard</t>
        </is>
      </c>
      <c r="B11" s="5" t="n">
        <v>0.2666666666666667</v>
      </c>
      <c r="C11" s="5" t="n">
        <v>0.4666666666666667</v>
      </c>
      <c r="D11" s="5" t="n">
        <v>0.3333333333333333</v>
      </c>
      <c r="E11" s="5" t="n">
        <v>0.5</v>
      </c>
      <c r="F11" s="5" t="n">
        <v>0.2692307692307692</v>
      </c>
      <c r="G11" s="5" t="n">
        <v>0.3846153846153846</v>
      </c>
      <c r="H11" s="5" t="n">
        <v>0.2244444444444444</v>
      </c>
      <c r="I11" s="5" t="n">
        <v>0.3744444444444445</v>
      </c>
      <c r="J11" s="5" t="n">
        <v>0.4666666666666667</v>
      </c>
      <c r="K11" s="5" t="n">
        <v>0.4</v>
      </c>
    </row>
    <row r="13">
      <c r="A13" t="inlineStr">
        <is>
          <t>Doc@5 fixed (27)</t>
        </is>
      </c>
      <c r="B13" t="inlineStr">
        <is>
          <t>LAW_A_001, LAW_A_002, LAW_A_003, LAW_A_004, LAW_A_005, LAW_A_006, LAW_A_007, LAW_A_009, LAW_A_010, LAW_A_012, LAW_A_013, LAW_A_014, LAW_A_015, LAW_A_016, LAW_A_017, LAW_A_018, LAW_A_020, LAW_B_013, LAW_D_001, LAW_D_002, LAW_D_004, LAW_D_005, LAW_D_006, LAW_D_009, LAW_D_012, LAW_D_014, LAW_D_016</t>
        </is>
      </c>
    </row>
    <row r="14">
      <c r="A14" t="inlineStr">
        <is>
          <t>Doc@5 regressed (3)</t>
        </is>
      </c>
      <c r="B14" t="inlineStr">
        <is>
          <t>LAW_E_010, LAW_E_011, LAW_E_019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12" customWidth="1" min="2" max="2"/>
    <col width="10" customWidth="1" min="3" max="3"/>
    <col width="30" customWidth="1" min="4" max="4"/>
    <col width="45" customWidth="1" min="5" max="5"/>
    <col width="45" customWidth="1" min="6" max="6"/>
    <col width="55" customWidth="1" min="7" max="7"/>
    <col width="35" customWidth="1" min="8" max="8"/>
    <col width="16" customWidth="1" min="9" max="9"/>
  </cols>
  <sheetData>
    <row r="1">
      <c r="A1" s="2" t="inlineStr">
        <is>
          <t>Defect ID</t>
        </is>
      </c>
      <c r="B1" s="2" t="inlineStr">
        <is>
          <t>Test Case</t>
        </is>
      </c>
      <c r="C1" s="2" t="inlineStr">
        <is>
          <t>Severity</t>
        </is>
      </c>
      <c r="D1" s="2" t="inlineStr">
        <is>
          <t>Title</t>
        </is>
      </c>
      <c r="E1" s="2" t="inlineStr">
        <is>
          <t>Steps to reproduce</t>
        </is>
      </c>
      <c r="F1" s="2" t="inlineStr">
        <is>
          <t>Expected</t>
        </is>
      </c>
      <c r="G1" s="2" t="inlineStr">
        <is>
          <t>Actual</t>
        </is>
      </c>
      <c r="H1" s="2" t="inlineStr">
        <is>
          <t>Auto reasons</t>
        </is>
      </c>
      <c r="I1" s="2" t="inlineStr">
        <is>
          <t>Status</t>
        </is>
      </c>
    </row>
    <row r="2">
      <c r="A2" s="6" t="inlineStr">
        <is>
          <t>D-001</t>
        </is>
      </c>
      <c r="B2" s="6" t="inlineStr">
        <is>
          <t>LAW_A_016</t>
        </is>
      </c>
      <c r="C2" s="6" t="inlineStr">
        <is>
          <t>Medium</t>
        </is>
      </c>
      <c r="D2" s="6" t="inlineStr">
        <is>
          <t>Từ chối trả lời câu hỏi có đáp án</t>
        </is>
      </c>
      <c r="E2" s="6" t="inlineStr">
        <is>
          <t>1. Mở RAG Lab / POST /api/rag/chat
2. Query: "Một người tìm việc thông qua trung tâm dịch vụ việc làm. Theo giáo trình, quan hệ này có nằm trong đối tượng điều chỉnh của Luật lao động không?"</t>
        </is>
      </c>
      <c r="F2" s="6" t="inlineStr">
        <is>
          <t>Có. Đây là một dạng quan hệ về việc làm giữa NLĐ và trung tâm dịch vụ việc làm, được xếp vào các quan hệ liên quan đến quan hệ lao động.</t>
        </is>
      </c>
      <c r="G2" s="6" t="inlineStr">
        <is>
          <t>Dựa trên tài liệu được cung cấp, tôi không tìm thấy thông tin để trả lời câu hỏi này.</t>
        </is>
      </c>
      <c r="H2" s="6" t="inlineStr">
        <is>
          <t>Từ chối trả lời dù câu hỏi có đáp án</t>
        </is>
      </c>
      <c r="I2" s="6" t="inlineStr">
        <is>
          <t>Open (candidate)</t>
        </is>
      </c>
    </row>
    <row r="3">
      <c r="A3" s="6" t="inlineStr">
        <is>
          <t>D-002</t>
        </is>
      </c>
      <c r="B3" s="6" t="inlineStr">
        <is>
          <t>LAW_A_018</t>
        </is>
      </c>
      <c r="C3" s="6" t="inlineStr">
        <is>
          <t>High</t>
        </is>
      </c>
      <c r="D3" s="6" t="inlineStr">
        <is>
          <t>Lỗi API</t>
        </is>
      </c>
      <c r="E3" s="6" t="inlineStr">
        <is>
          <t>1. Mở RAG Lab / POST /api/rag/chat
2. Query: "Giáo trình liên hệ quan hệ tranh chấp lao động và đình công với mục tiêu ổn định quan hệ lao động như thế nào?"</t>
        </is>
      </c>
      <c r="F3" s="6" t="inlineStr">
        <is>
          <t>Việc giải quyết tranh chấp/đình công do các cơ quan, tổ chức có thẩm quyền thực hiện nhằm bảo đảm quyền lợi các bên và duy trì sự hài hòa, ổn định của quan hệ lao động.</t>
        </is>
      </c>
      <c r="G3" s="6" t="inlineStr"/>
      <c r="H3" s="6" t="inlineStr">
        <is>
          <t>Lỗi API: HTTP 500: {"detail":"RAG Chat lỗi: Gemini API đã vượt quota/rate limit. Chi tiết: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t>
        </is>
      </c>
      <c r="I3" s="6" t="inlineStr">
        <is>
          <t>Open (candidate)</t>
        </is>
      </c>
    </row>
    <row r="4">
      <c r="A4" s="6" t="inlineStr">
        <is>
          <t>D-003</t>
        </is>
      </c>
      <c r="B4" s="6" t="inlineStr">
        <is>
          <t>LAW_A_019</t>
        </is>
      </c>
      <c r="C4" s="6" t="inlineStr">
        <is>
          <t>Medium</t>
        </is>
      </c>
      <c r="D4" s="6" t="inlineStr">
        <is>
          <t>Từ chối trả lời câu hỏi có đáp án</t>
        </is>
      </c>
      <c r="E4" s="6" t="inlineStr">
        <is>
          <t>1. Mở RAG Lab / POST /api/rag/chat
2. Query: "Nếu hỏi “quy định hiện hành năm 2026 về làm thêm giờ”, RAG có nên chỉ dùng con số trong giáo trình 2005 không?"</t>
        </is>
      </c>
      <c r="F4" s="6" t="inlineStr">
        <is>
          <t>Không nên. Giáo trình là nguồn lịch sử/giảng dạy cũ; hệ thống phải nhận diện thời điểm của nguồn và không trình bày quy định trong tài liệu này như pháp luật hiện hành năm 2026 nếu không có nguồn cập nhật.</t>
        </is>
      </c>
      <c r="G4" s="6" t="inlineStr">
        <is>
          <t>Dựa trên tài liệu được cung cấp, tôi không tìm thấy thông tin để trả lời câu hỏi này.</t>
        </is>
      </c>
      <c r="H4" s="6" t="inlineStr">
        <is>
          <t>Từ chối trả lời dù câu hỏi có đáp án</t>
        </is>
      </c>
      <c r="I4" s="6" t="inlineStr">
        <is>
          <t>Open (candidate)</t>
        </is>
      </c>
    </row>
    <row r="5">
      <c r="A5" s="6" t="inlineStr">
        <is>
          <t>D-004</t>
        </is>
      </c>
      <c r="B5" s="6" t="inlineStr">
        <is>
          <t>LAW_A_020</t>
        </is>
      </c>
      <c r="C5" s="6" t="inlineStr">
        <is>
          <t>High</t>
        </is>
      </c>
      <c r="D5" s="6" t="inlineStr">
        <is>
          <t>Lỗi API</t>
        </is>
      </c>
      <c r="E5" s="6" t="inlineStr">
        <is>
          <t>1. Mở RAG Lab / POST /api/rag/chat
2. Query: "Theo giáo trình, vì sao Luật lao động không chỉ điều chỉnh việc “đi làm nhận lương” mà còn bao phủ nhiều quan hệ khác?"</t>
        </is>
      </c>
      <c r="F5" s="6" t="inlineStr">
        <is>
          <t>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is>
      </c>
      <c r="G5" s="6" t="inlineStr"/>
      <c r="H5" s="6" t="inlineStr">
        <is>
          <t>Lỗi API: chưa chạy</t>
        </is>
      </c>
      <c r="I5" s="6" t="inlineStr">
        <is>
          <t>Open (candidate)</t>
        </is>
      </c>
    </row>
    <row r="6">
      <c r="A6" s="6" t="inlineStr">
        <is>
          <t>D-005</t>
        </is>
      </c>
      <c r="B6" s="6" t="inlineStr">
        <is>
          <t>LAW_B_001</t>
        </is>
      </c>
      <c r="C6" s="6" t="inlineStr">
        <is>
          <t>High</t>
        </is>
      </c>
      <c r="D6" s="6" t="inlineStr">
        <is>
          <t>Lỗi API</t>
        </is>
      </c>
      <c r="E6" s="6" t="inlineStr">
        <is>
          <t>1. Mở RAG Lab / POST /api/rag/chat
2. Query: "Theo sổ tay, hợp đồng lao động có thể được giao kết bằng lời nói trong trường hợp nào?"</t>
        </is>
      </c>
      <c r="F6" s="6" t="inlineStr">
        <is>
          <t>Theo tài liệu, giao kết bằng lời nói áp dụng với công việc tạm thời có thời hạn dưới 03 tháng.</t>
        </is>
      </c>
      <c r="G6" s="6" t="inlineStr"/>
      <c r="H6" s="6" t="inlineStr">
        <is>
          <t>Lỗi API: chưa chạy</t>
        </is>
      </c>
      <c r="I6" s="6" t="inlineStr">
        <is>
          <t>Open (candidate)</t>
        </is>
      </c>
    </row>
    <row r="7">
      <c r="A7" s="6" t="inlineStr">
        <is>
          <t>D-006</t>
        </is>
      </c>
      <c r="B7" s="6" t="inlineStr">
        <is>
          <t>LAW_B_002</t>
        </is>
      </c>
      <c r="C7" s="6" t="inlineStr">
        <is>
          <t>High</t>
        </is>
      </c>
      <c r="D7" s="6" t="inlineStr">
        <is>
          <t>Lỗi API</t>
        </is>
      </c>
      <c r="E7" s="6" t="inlineStr">
        <is>
          <t>1. Mở RAG Lab / POST /api/rag/chat
2. Query: "Vì sao sổ tay khuyến nghị nên ký hợp đồng lao động?"</t>
        </is>
      </c>
      <c r="F7" s="6" t="inlineStr">
        <is>
          <t>Vì hợp đồng thể hiện thỏa thuận về công việc, lương, điều kiện làm việc, quyền và nghĩa vụ và là căn cứ xem xét khi phát sinh tranh chấp.</t>
        </is>
      </c>
      <c r="G7" s="6" t="inlineStr"/>
      <c r="H7" s="6" t="inlineStr">
        <is>
          <t>Lỗi API: chưa chạy</t>
        </is>
      </c>
      <c r="I7" s="6" t="inlineStr">
        <is>
          <t>Open (candidate)</t>
        </is>
      </c>
    </row>
    <row r="8">
      <c r="A8" s="6" t="inlineStr">
        <is>
          <t>D-007</t>
        </is>
      </c>
      <c r="B8" s="6" t="inlineStr">
        <is>
          <t>LAW_B_003</t>
        </is>
      </c>
      <c r="C8" s="6" t="inlineStr">
        <is>
          <t>High</t>
        </is>
      </c>
      <c r="D8" s="6" t="inlineStr">
        <is>
          <t>Lỗi API</t>
        </is>
      </c>
      <c r="E8" s="6" t="inlineStr">
        <is>
          <t>1. Mở RAG Lab / POST /api/rag/chat
2. Query: "Sổ tay có đề cập nội dung “khi nào được ký HĐLĐ không xác định thời hạn” ở phần nào?"</t>
        </is>
      </c>
      <c r="F8" s="6" t="inlineStr">
        <is>
          <t>Nội dung này nằm trong Phần I - Hợp đồng lao động.</t>
        </is>
      </c>
      <c r="G8" s="6" t="inlineStr"/>
      <c r="H8" s="6" t="inlineStr">
        <is>
          <t>Lỗi API: chưa chạy</t>
        </is>
      </c>
      <c r="I8" s="6" t="inlineStr">
        <is>
          <t>Open (candidate)</t>
        </is>
      </c>
    </row>
    <row r="9">
      <c r="A9" s="6" t="inlineStr">
        <is>
          <t>D-008</t>
        </is>
      </c>
      <c r="B9" s="6" t="inlineStr">
        <is>
          <t>LAW_B_004</t>
        </is>
      </c>
      <c r="C9" s="6" t="inlineStr">
        <is>
          <t>High</t>
        </is>
      </c>
      <c r="D9" s="6" t="inlineStr">
        <is>
          <t>Lỗi API</t>
        </is>
      </c>
      <c r="E9" s="6" t="inlineStr">
        <is>
          <t>1. Mở RAG Lab / POST /api/rag/chat
2. Query: "Sổ tay xếp quy định về thử việc vào nhóm nội dung nào?"</t>
        </is>
      </c>
      <c r="F9" s="6" t="inlineStr">
        <is>
          <t>Thuộc Phần I - Hợp đồng lao động.</t>
        </is>
      </c>
      <c r="G9" s="6" t="inlineStr"/>
      <c r="H9" s="6" t="inlineStr">
        <is>
          <t>Lỗi API: chưa chạy</t>
        </is>
      </c>
      <c r="I9" s="6" t="inlineStr">
        <is>
          <t>Open (candidate)</t>
        </is>
      </c>
    </row>
    <row r="10">
      <c r="A10" s="6" t="inlineStr">
        <is>
          <t>D-009</t>
        </is>
      </c>
      <c r="B10" s="6" t="inlineStr">
        <is>
          <t>LAW_B_005</t>
        </is>
      </c>
      <c r="C10" s="6" t="inlineStr">
        <is>
          <t>High</t>
        </is>
      </c>
      <c r="D10" s="6" t="inlineStr">
        <is>
          <t>Lỗi API</t>
        </is>
      </c>
      <c r="E10" s="6" t="inlineStr">
        <is>
          <t>1. Mở RAG Lab / POST /api/rag/chat
2. Query: "Sổ tay xếp trả tiền lương làm thêm giờ vào phần nào?"</t>
        </is>
      </c>
      <c r="F10" s="6" t="inlineStr">
        <is>
          <t>Thuộc Phần II - Tiền lương.</t>
        </is>
      </c>
      <c r="G10" s="6" t="inlineStr"/>
      <c r="H10" s="6" t="inlineStr">
        <is>
          <t>Lỗi API: chưa chạy</t>
        </is>
      </c>
      <c r="I10" s="6" t="inlineStr">
        <is>
          <t>Open (candidate)</t>
        </is>
      </c>
    </row>
    <row r="11">
      <c r="A11" s="6" t="inlineStr">
        <is>
          <t>D-010</t>
        </is>
      </c>
      <c r="B11" s="6" t="inlineStr">
        <is>
          <t>LAW_B_006</t>
        </is>
      </c>
      <c r="C11" s="6" t="inlineStr">
        <is>
          <t>High</t>
        </is>
      </c>
      <c r="D11" s="6" t="inlineStr">
        <is>
          <t>Lỗi API</t>
        </is>
      </c>
      <c r="E11" s="6" t="inlineStr">
        <is>
          <t>1. Mở RAG Lab / POST /api/rag/chat
2. Query: "Sổ tay xếp nghỉ giữa giờ, nghỉ phép và nghỉ việc riêng vào phần nào?"</t>
        </is>
      </c>
      <c r="F11" s="6" t="inlineStr">
        <is>
          <t>Thuộc Phần III - Thời gian làm việc và nghỉ ngơi.</t>
        </is>
      </c>
      <c r="G11" s="6" t="inlineStr"/>
      <c r="H11" s="6" t="inlineStr">
        <is>
          <t>Lỗi API: chưa chạy</t>
        </is>
      </c>
      <c r="I11" s="6" t="inlineStr">
        <is>
          <t>Open (candidate)</t>
        </is>
      </c>
    </row>
    <row r="12">
      <c r="A12" s="6" t="inlineStr">
        <is>
          <t>D-011</t>
        </is>
      </c>
      <c r="B12" s="6" t="inlineStr">
        <is>
          <t>LAW_B_007</t>
        </is>
      </c>
      <c r="C12" s="6" t="inlineStr">
        <is>
          <t>High</t>
        </is>
      </c>
      <c r="D12" s="6" t="inlineStr">
        <is>
          <t>Lỗi API</t>
        </is>
      </c>
      <c r="E12" s="6" t="inlineStr">
        <is>
          <t>1. Mở RAG Lab / POST /api/rag/chat
2. Query: "Sổ tay xếp tai nạn lao động và bệnh nghề nghiệp vào phần nào?"</t>
        </is>
      </c>
      <c r="F12" s="6" t="inlineStr">
        <is>
          <t>Thuộc Phần IV - An toàn lao động.</t>
        </is>
      </c>
      <c r="G12" s="6" t="inlineStr"/>
      <c r="H12" s="6" t="inlineStr">
        <is>
          <t>Lỗi API: chưa chạy</t>
        </is>
      </c>
      <c r="I12" s="6" t="inlineStr">
        <is>
          <t>Open (candidate)</t>
        </is>
      </c>
    </row>
    <row r="13">
      <c r="A13" s="6" t="inlineStr">
        <is>
          <t>D-012</t>
        </is>
      </c>
      <c r="B13" s="6" t="inlineStr">
        <is>
          <t>LAW_B_008</t>
        </is>
      </c>
      <c r="C13" s="6" t="inlineStr">
        <is>
          <t>High</t>
        </is>
      </c>
      <c r="D13" s="6" t="inlineStr">
        <is>
          <t>Lỗi API</t>
        </is>
      </c>
      <c r="E13" s="6" t="inlineStr">
        <is>
          <t>1. Mở RAG Lab / POST /api/rag/chat
2. Query: "Một người làm việc tạm thời 2 tháng, hai bên chỉ thỏa thuận miệng về lương và an toàn lao động. Theo tình huống trong sổ tay, có được coi là đã giao kết HĐLĐ không?"</t>
        </is>
      </c>
      <c r="F13" s="6" t="inlineStr">
        <is>
          <t>Có. Tài liệu kết luận trường hợp làm tạm thời 2 tháng thuộc trường hợp có thể giao kết bằng lời nói theo quy định mà sổ tay viện dẫn.</t>
        </is>
      </c>
      <c r="G13" s="6" t="inlineStr"/>
      <c r="H13" s="6" t="inlineStr">
        <is>
          <t>Lỗi API: chưa chạy</t>
        </is>
      </c>
      <c r="I13" s="6" t="inlineStr">
        <is>
          <t>Open (candidate)</t>
        </is>
      </c>
    </row>
    <row r="14">
      <c r="A14" s="6" t="inlineStr">
        <is>
          <t>D-013</t>
        </is>
      </c>
      <c r="B14" s="6" t="inlineStr">
        <is>
          <t>LAW_B_009</t>
        </is>
      </c>
      <c r="C14" s="6" t="inlineStr">
        <is>
          <t>High</t>
        </is>
      </c>
      <c r="D14" s="6" t="inlineStr">
        <is>
          <t>Lỗi API</t>
        </is>
      </c>
      <c r="E14" s="6" t="inlineStr">
        <is>
          <t>1. Mở RAG Lab / POST /api/rag/chat
2. Query: "Hợp đồng lao động có ý nghĩa gì khi xảy ra tranh chấp theo sổ tay?"</t>
        </is>
      </c>
      <c r="F14" s="6" t="inlineStr">
        <is>
          <t>Là căn cứ thể hiện các thỏa thuận của các bên để xem xét quyền, nghĩa vụ và giải quyết tranh chấp.</t>
        </is>
      </c>
      <c r="G14" s="6" t="inlineStr"/>
      <c r="H14" s="6" t="inlineStr">
        <is>
          <t>Lỗi API: chưa chạy</t>
        </is>
      </c>
      <c r="I14" s="6" t="inlineStr">
        <is>
          <t>Open (candidate)</t>
        </is>
      </c>
    </row>
    <row r="15">
      <c r="A15" s="6" t="inlineStr">
        <is>
          <t>D-014</t>
        </is>
      </c>
      <c r="B15" s="6" t="inlineStr">
        <is>
          <t>LAW_B_010</t>
        </is>
      </c>
      <c r="C15" s="6" t="inlineStr">
        <is>
          <t>High</t>
        </is>
      </c>
      <c r="D15" s="6" t="inlineStr">
        <is>
          <t>Lỗi API</t>
        </is>
      </c>
      <c r="E15" s="6" t="inlineStr">
        <is>
          <t>1. Mở RAG Lab / POST /api/rag/chat
2. Query: "Muốn tìm câu trả lời về việc công ty có được giữ văn bằng gốc của NLĐ hay không, cần truy xuất phần nào của sổ tay?"</t>
        </is>
      </c>
      <c r="F15" s="6" t="inlineStr">
        <is>
          <t>Phần VIII - Khiếu nại, khiếu kiện về lao động.</t>
        </is>
      </c>
      <c r="G15" s="6" t="inlineStr"/>
      <c r="H15" s="6" t="inlineStr">
        <is>
          <t>Lỗi API: chưa chạy</t>
        </is>
      </c>
      <c r="I15" s="6" t="inlineStr">
        <is>
          <t>Open (candidate)</t>
        </is>
      </c>
    </row>
    <row r="16">
      <c r="A16" s="6" t="inlineStr">
        <is>
          <t>D-015</t>
        </is>
      </c>
      <c r="B16" s="6" t="inlineStr">
        <is>
          <t>LAW_B_011</t>
        </is>
      </c>
      <c r="C16" s="6" t="inlineStr">
        <is>
          <t>High</t>
        </is>
      </c>
      <c r="D16" s="6" t="inlineStr">
        <is>
          <t>Lỗi API</t>
        </is>
      </c>
      <c r="E16" s="6" t="inlineStr">
        <is>
          <t>1. Mở RAG Lab / POST /api/rag/chat
2. Query: "Muốn tìm quy trình tiến hành đình công và tiền lương trong ngày đình công, cần truy xuất phần nào?"</t>
        </is>
      </c>
      <c r="F16" s="6" t="inlineStr">
        <is>
          <t>Phần VII - Đình công.</t>
        </is>
      </c>
      <c r="G16" s="6" t="inlineStr"/>
      <c r="H16" s="6" t="inlineStr">
        <is>
          <t>Lỗi API: chưa chạy</t>
        </is>
      </c>
      <c r="I16" s="6" t="inlineStr">
        <is>
          <t>Open (candidate)</t>
        </is>
      </c>
    </row>
    <row r="17">
      <c r="A17" s="6" t="inlineStr">
        <is>
          <t>D-016</t>
        </is>
      </c>
      <c r="B17" s="6" t="inlineStr">
        <is>
          <t>LAW_B_012</t>
        </is>
      </c>
      <c r="C17" s="6" t="inlineStr">
        <is>
          <t>High</t>
        </is>
      </c>
      <c r="D17" s="6" t="inlineStr">
        <is>
          <t>Lỗi API</t>
        </is>
      </c>
      <c r="E17" s="6" t="inlineStr">
        <is>
          <t>1. Mở RAG Lab / POST /api/rag/chat
2. Query: "Câu hỏi về quyền lợi của phụ nữ mang thai và chế độ nghỉ thai sản nằm ở phần nào?"</t>
        </is>
      </c>
      <c r="F17" s="6" t="inlineStr">
        <is>
          <t>Phần VI - Chế độ đối với lao động nữ.</t>
        </is>
      </c>
      <c r="G17" s="6" t="inlineStr"/>
      <c r="H17" s="6" t="inlineStr">
        <is>
          <t>Lỗi API: chưa chạy</t>
        </is>
      </c>
      <c r="I17" s="6" t="inlineStr">
        <is>
          <t>Open (candidate)</t>
        </is>
      </c>
    </row>
    <row r="18">
      <c r="A18" s="6" t="inlineStr">
        <is>
          <t>D-017</t>
        </is>
      </c>
      <c r="B18" s="6" t="inlineStr">
        <is>
          <t>LAW_B_013</t>
        </is>
      </c>
      <c r="C18" s="6" t="inlineStr">
        <is>
          <t>High</t>
        </is>
      </c>
      <c r="D18" s="6" t="inlineStr">
        <is>
          <t>Lỗi API</t>
        </is>
      </c>
      <c r="E18" s="6" t="inlineStr">
        <is>
          <t>1. Mở RAG Lab / POST /api/rag/chat
2. Query: "Câu hỏi về sa thải trái pháp luật và trách nhiệm của NSDLĐ khi sa thải trái pháp luật nằm ở đâu?"</t>
        </is>
      </c>
      <c r="F18" s="6" t="inlineStr">
        <is>
          <t>Phần V - Kỷ luật lao động.</t>
        </is>
      </c>
      <c r="G18" s="6" t="inlineStr"/>
      <c r="H18" s="6" t="inlineStr">
        <is>
          <t>Lỗi API: chưa chạy</t>
        </is>
      </c>
      <c r="I18" s="6" t="inlineStr">
        <is>
          <t>Open (candidate)</t>
        </is>
      </c>
    </row>
    <row r="19">
      <c r="A19" s="6" t="inlineStr">
        <is>
          <t>D-018</t>
        </is>
      </c>
      <c r="B19" s="6" t="inlineStr">
        <is>
          <t>LAW_B_014</t>
        </is>
      </c>
      <c r="C19" s="6" t="inlineStr">
        <is>
          <t>High</t>
        </is>
      </c>
      <c r="D19" s="6" t="inlineStr">
        <is>
          <t>Lỗi API</t>
        </is>
      </c>
      <c r="E19" s="6" t="inlineStr">
        <is>
          <t>1. Mở RAG Lab / POST /api/rag/chat
2. Query: "Nếu NLĐ làm mất tài sản của doanh nghiệp, sổ tay định hướng tra cứu nội dung nào?"</t>
        </is>
      </c>
      <c r="F19" s="6" t="inlineStr">
        <is>
          <t>Tra cứu câu hỏi “Bồi thường thiệt hại do làm mất tài sản?” trong Phần V - Kỷ luật lao động.</t>
        </is>
      </c>
      <c r="G19" s="6" t="inlineStr"/>
      <c r="H19" s="6" t="inlineStr">
        <is>
          <t>Lỗi API: chưa chạy</t>
        </is>
      </c>
      <c r="I19" s="6" t="inlineStr">
        <is>
          <t>Open (candidate)</t>
        </is>
      </c>
    </row>
    <row r="20">
      <c r="A20" s="6" t="inlineStr">
        <is>
          <t>D-019</t>
        </is>
      </c>
      <c r="B20" s="6" t="inlineStr">
        <is>
          <t>LAW_B_015</t>
        </is>
      </c>
      <c r="C20" s="6" t="inlineStr">
        <is>
          <t>High</t>
        </is>
      </c>
      <c r="D20" s="6" t="inlineStr">
        <is>
          <t>Lỗi API</t>
        </is>
      </c>
      <c r="E20" s="6" t="inlineStr">
        <is>
          <t>1. Mở RAG Lab / POST /api/rag/chat
2. Query: "Một NLĐ vừa hỏi về nghỉ phép vừa hỏi về lương làm thêm giờ. RAG cần lấy tối thiểu từ những phần nào của sổ tay?"</t>
        </is>
      </c>
      <c r="F20" s="6" t="inlineStr">
        <is>
          <t>Ít nhất từ Phần II - Tiền lương (lương làm thêm giờ) và Phần III - Thời gian làm việc và nghỉ ngơi (nghỉ phép).</t>
        </is>
      </c>
      <c r="G20" s="6" t="inlineStr"/>
      <c r="H20" s="6" t="inlineStr">
        <is>
          <t>Lỗi API: chưa chạy</t>
        </is>
      </c>
      <c r="I20" s="6" t="inlineStr">
        <is>
          <t>Open (candidate)</t>
        </is>
      </c>
    </row>
    <row r="21">
      <c r="A21" s="6" t="inlineStr">
        <is>
          <t>D-020</t>
        </is>
      </c>
      <c r="B21" s="6" t="inlineStr">
        <is>
          <t>LAW_B_016</t>
        </is>
      </c>
      <c r="C21" s="6" t="inlineStr">
        <is>
          <t>High</t>
        </is>
      </c>
      <c r="D21" s="6" t="inlineStr">
        <is>
          <t>Lỗi API</t>
        </is>
      </c>
      <c r="E21" s="6" t="inlineStr">
        <is>
          <t>1. Mở RAG Lab / POST /api/rag/chat
2. Query: "Một vụ việc có tai nạn lao động và sau đó phát sinh khiếu kiện. Để trả lời theo cấu trúc sổ tay, cần kết hợp những phần nào?"</t>
        </is>
      </c>
      <c r="F21" s="6" t="inlineStr">
        <is>
          <t>Cần kết hợp Phần IV - An toàn lao động với Phần VIII - Khiếu nại, khiếu kiện về lao động.</t>
        </is>
      </c>
      <c r="G21" s="6" t="inlineStr"/>
      <c r="H21" s="6" t="inlineStr">
        <is>
          <t>Lỗi API: chưa chạy</t>
        </is>
      </c>
      <c r="I21" s="6" t="inlineStr">
        <is>
          <t>Open (candidate)</t>
        </is>
      </c>
    </row>
    <row r="22">
      <c r="A22" s="6" t="inlineStr">
        <is>
          <t>D-021</t>
        </is>
      </c>
      <c r="B22" s="6" t="inlineStr">
        <is>
          <t>LAW_B_017</t>
        </is>
      </c>
      <c r="C22" s="6" t="inlineStr">
        <is>
          <t>High</t>
        </is>
      </c>
      <c r="D22" s="6" t="inlineStr">
        <is>
          <t>Lỗi API</t>
        </is>
      </c>
      <c r="E22" s="6" t="inlineStr">
        <is>
          <t>1. Mở RAG Lab / POST /api/rag/chat
2. Query: "“Mọi hợp đồng lao động đều bắt buộc phải lập thành văn bản” có phù hợp với nội dung sổ tay không?"</t>
        </is>
      </c>
      <c r="F22" s="6" t="inlineStr">
        <is>
          <t>Không. Sổ tay nêu hai hình thức là văn bản và lời nói, trong đó lời nói được áp dụng cho công việc tạm thời dưới 03 tháng theo quy định mà tài liệu viện dẫn.</t>
        </is>
      </c>
      <c r="G22" s="6" t="inlineStr"/>
      <c r="H22" s="6" t="inlineStr">
        <is>
          <t>Lỗi API: chưa chạy</t>
        </is>
      </c>
      <c r="I22" s="6" t="inlineStr">
        <is>
          <t>Open (candidate)</t>
        </is>
      </c>
    </row>
    <row r="23">
      <c r="A23" s="6" t="inlineStr">
        <is>
          <t>D-022</t>
        </is>
      </c>
      <c r="B23" s="6" t="inlineStr">
        <is>
          <t>LAW_B_018</t>
        </is>
      </c>
      <c r="C23" s="6" t="inlineStr">
        <is>
          <t>High</t>
        </is>
      </c>
      <c r="D23" s="6" t="inlineStr">
        <is>
          <t>Lỗi API</t>
        </is>
      </c>
      <c r="E23" s="6" t="inlineStr">
        <is>
          <t>1. Mở RAG Lab / POST /api/rag/chat
2. Query: "Nếu người dùng hỏi pháp luật hiện hành 2026, RAG có nên trả lời trực tiếp theo ngưỡng “dưới 03 tháng” của sổ tay không?"</t>
        </is>
      </c>
      <c r="F23" s="6" t="inlineStr">
        <is>
          <t>Không nên coi đó là quy định hiện hành chỉ dựa vào sổ tay này. Cần nêu đây là nội dung của tài liệu và ưu tiên/đối chiếu nguồn pháp luật cập nhật hơn nếu câu hỏi yêu cầu hiện hành.</t>
        </is>
      </c>
      <c r="G23" s="6" t="inlineStr"/>
      <c r="H23" s="6" t="inlineStr">
        <is>
          <t>Lỗi API: chưa chạy</t>
        </is>
      </c>
      <c r="I23" s="6" t="inlineStr">
        <is>
          <t>Open (candidate)</t>
        </is>
      </c>
    </row>
    <row r="24">
      <c r="A24" s="6" t="inlineStr">
        <is>
          <t>D-023</t>
        </is>
      </c>
      <c r="B24" s="6" t="inlineStr">
        <is>
          <t>LAW_B_019</t>
        </is>
      </c>
      <c r="C24" s="6" t="inlineStr">
        <is>
          <t>High</t>
        </is>
      </c>
      <c r="D24" s="6" t="inlineStr">
        <is>
          <t>Lỗi API</t>
        </is>
      </c>
      <c r="E24" s="6" t="inlineStr">
        <is>
          <t>1. Mở RAG Lab / POST /api/rag/chat
2. Query: "Sổ tay được thiết kế theo hình thức nào và điều đó có ý nghĩa gì cho RAG?"</t>
        </is>
      </c>
      <c r="F24" s="6" t="inlineStr">
        <is>
          <t>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is>
      </c>
      <c r="G24" s="6" t="inlineStr"/>
      <c r="H24" s="6" t="inlineStr">
        <is>
          <t>Lỗi API: chưa chạy</t>
        </is>
      </c>
      <c r="I24" s="6" t="inlineStr">
        <is>
          <t>Open (candidate)</t>
        </is>
      </c>
    </row>
    <row r="25">
      <c r="A25" s="6" t="inlineStr">
        <is>
          <t>D-024</t>
        </is>
      </c>
      <c r="B25" s="6" t="inlineStr">
        <is>
          <t>LAW_B_020</t>
        </is>
      </c>
      <c r="C25" s="6" t="inlineStr">
        <is>
          <t>High</t>
        </is>
      </c>
      <c r="D25" s="6" t="inlineStr">
        <is>
          <t>Lỗi API</t>
        </is>
      </c>
      <c r="E25" s="6" t="inlineStr">
        <is>
          <t>1. Mở RAG Lab / POST /api/rag/chat
2. Query: "Một chatbot nhận câu hỏi “bị sa thải khi đang mang thai thì quyền lợi thế nào?”. Theo mục lục sổ tay, retrieval nên mở rộng sang những nhóm nội dung nào?"</t>
        </is>
      </c>
      <c r="F25" s="6" t="inlineStr">
        <is>
          <t>Nên truy xuất ít nhất Phần V - Kỷ luật lao động và Phần VI - Chế độ đối với lao động nữ; tùy câu hỏi về khiếu kiện có thể cần thêm Phần VIII.</t>
        </is>
      </c>
      <c r="G25" s="6" t="inlineStr"/>
      <c r="H25" s="6" t="inlineStr">
        <is>
          <t>Lỗi API: chưa chạy</t>
        </is>
      </c>
      <c r="I25" s="6" t="inlineStr">
        <is>
          <t>Open (candidate)</t>
        </is>
      </c>
    </row>
    <row r="26">
      <c r="A26" s="6" t="inlineStr">
        <is>
          <t>D-025</t>
        </is>
      </c>
      <c r="B26" s="6" t="inlineStr">
        <is>
          <t>LAW_C_001</t>
        </is>
      </c>
      <c r="C26" s="6" t="inlineStr">
        <is>
          <t>High</t>
        </is>
      </c>
      <c r="D26" s="6" t="inlineStr">
        <is>
          <t>Lỗi API</t>
        </is>
      </c>
      <c r="E26" s="6" t="inlineStr">
        <is>
          <t>1. Mở RAG Lab / POST /api/rag/chat
2. Query: "Bộ tổng hợp văn bản được cập nhật đến thời điểm nào?"</t>
        </is>
      </c>
      <c r="F26" s="6" t="inlineStr">
        <is>
          <t>Được cập nhật đến hết tháng 3/2020.</t>
        </is>
      </c>
      <c r="G26" s="6" t="inlineStr"/>
      <c r="H26" s="6" t="inlineStr">
        <is>
          <t>Lỗi API: chưa chạy</t>
        </is>
      </c>
      <c r="I26" s="6" t="inlineStr">
        <is>
          <t>Open (candidate)</t>
        </is>
      </c>
    </row>
    <row r="27">
      <c r="A27" s="6" t="inlineStr">
        <is>
          <t>D-026</t>
        </is>
      </c>
      <c r="B27" s="6" t="inlineStr">
        <is>
          <t>LAW_C_002</t>
        </is>
      </c>
      <c r="C27" s="6" t="inlineStr">
        <is>
          <t>High</t>
        </is>
      </c>
      <c r="D27" s="6" t="inlineStr">
        <is>
          <t>Lỗi API</t>
        </is>
      </c>
      <c r="E27" s="6" t="inlineStr">
        <is>
          <t>1. Mở RAG Lab / POST /api/rag/chat
2. Query: "Văn bản đầu tiên trong mục lục của bộ tổng hợp là văn bản nào?"</t>
        </is>
      </c>
      <c r="F27" s="6" t="inlineStr">
        <is>
          <t>Bộ luật Lao động số 45/2019/QH14 ngày 20/11/2019.</t>
        </is>
      </c>
      <c r="G27" s="6" t="inlineStr"/>
      <c r="H27" s="6" t="inlineStr">
        <is>
          <t>Lỗi API: chưa chạy</t>
        </is>
      </c>
      <c r="I27" s="6" t="inlineStr">
        <is>
          <t>Open (candidate)</t>
        </is>
      </c>
    </row>
    <row r="28">
      <c r="A28" s="6" t="inlineStr">
        <is>
          <t>D-027</t>
        </is>
      </c>
      <c r="B28" s="6" t="inlineStr">
        <is>
          <t>LAW_C_003</t>
        </is>
      </c>
      <c r="C28" s="6" t="inlineStr">
        <is>
          <t>High</t>
        </is>
      </c>
      <c r="D28" s="6" t="inlineStr">
        <is>
          <t>Lỗi API</t>
        </is>
      </c>
      <c r="E28" s="6" t="inlineStr">
        <is>
          <t>1. Mở RAG Lab / POST /api/rag/chat
2. Query: "Bộ tổng hợp có chứa Luật An toàn, vệ sinh lao động không?"</t>
        </is>
      </c>
      <c r="F28" s="6" t="inlineStr">
        <is>
          <t>Có. Mục lục liệt kê Luật An toàn, vệ sinh lao động số 84/2015/QH13.</t>
        </is>
      </c>
      <c r="G28" s="6" t="inlineStr"/>
      <c r="H28" s="6" t="inlineStr">
        <is>
          <t>Lỗi API: chưa chạy</t>
        </is>
      </c>
      <c r="I28" s="6" t="inlineStr">
        <is>
          <t>Open (candidate)</t>
        </is>
      </c>
    </row>
    <row r="29">
      <c r="A29" s="6" t="inlineStr">
        <is>
          <t>D-028</t>
        </is>
      </c>
      <c r="B29" s="6" t="inlineStr">
        <is>
          <t>LAW_C_004</t>
        </is>
      </c>
      <c r="C29" s="6" t="inlineStr">
        <is>
          <t>High</t>
        </is>
      </c>
      <c r="D29" s="6" t="inlineStr">
        <is>
          <t>Lỗi API</t>
        </is>
      </c>
      <c r="E29" s="6" t="inlineStr">
        <is>
          <t>1. Mở RAG Lab / POST /api/rag/chat
2. Query: "Bộ tổng hợp có chứa Luật Việc làm không?"</t>
        </is>
      </c>
      <c r="F29" s="6" t="inlineStr">
        <is>
          <t>Có. Mục lục liệt kê Luật Việc làm số 38/2013/QH13.</t>
        </is>
      </c>
      <c r="G29" s="6" t="inlineStr"/>
      <c r="H29" s="6" t="inlineStr">
        <is>
          <t>Lỗi API: chưa chạy</t>
        </is>
      </c>
      <c r="I29" s="6" t="inlineStr">
        <is>
          <t>Open (candidate)</t>
        </is>
      </c>
    </row>
    <row r="30">
      <c r="A30" s="6" t="inlineStr">
        <is>
          <t>D-029</t>
        </is>
      </c>
      <c r="B30" s="6" t="inlineStr">
        <is>
          <t>LAW_C_005</t>
        </is>
      </c>
      <c r="C30" s="6" t="inlineStr">
        <is>
          <t>High</t>
        </is>
      </c>
      <c r="D30" s="6" t="inlineStr">
        <is>
          <t>Lỗi API</t>
        </is>
      </c>
      <c r="E30" s="6" t="inlineStr">
        <is>
          <t>1. Mở RAG Lab / POST /api/rag/chat
2. Query: "Bộ tổng hợp có chứa Luật Công đoàn không?"</t>
        </is>
      </c>
      <c r="F30" s="6" t="inlineStr">
        <is>
          <t>Có. Mục lục liệt kê Luật Công đoàn số 12/2012/QH13.</t>
        </is>
      </c>
      <c r="G30" s="6" t="inlineStr"/>
      <c r="H30" s="6" t="inlineStr">
        <is>
          <t>Lỗi API: chưa chạy</t>
        </is>
      </c>
      <c r="I30" s="6" t="inlineStr">
        <is>
          <t>Open (candidate)</t>
        </is>
      </c>
    </row>
    <row r="31">
      <c r="A31" s="6" t="inlineStr">
        <is>
          <t>D-030</t>
        </is>
      </c>
      <c r="B31" s="6" t="inlineStr">
        <is>
          <t>LAW_C_006</t>
        </is>
      </c>
      <c r="C31" s="6" t="inlineStr">
        <is>
          <t>High</t>
        </is>
      </c>
      <c r="D31" s="6" t="inlineStr">
        <is>
          <t>Lỗi API</t>
        </is>
      </c>
      <c r="E31" s="6" t="inlineStr">
        <is>
          <t>1. Mở RAG Lab / POST /api/rag/chat
2. Query: "Nghị định nào trong mục lục quy định chi tiết về hợp đồng lao động?"</t>
        </is>
      </c>
      <c r="F31" s="6" t="inlineStr">
        <is>
          <t>Nghị định số 44/2013/NĐ-CP ngày 10/05/2013.</t>
        </is>
      </c>
      <c r="G31" s="6" t="inlineStr"/>
      <c r="H31" s="6" t="inlineStr">
        <is>
          <t>Lỗi API: chưa chạy</t>
        </is>
      </c>
      <c r="I31" s="6" t="inlineStr">
        <is>
          <t>Open (candidate)</t>
        </is>
      </c>
    </row>
    <row r="32">
      <c r="A32" s="6" t="inlineStr">
        <is>
          <t>D-031</t>
        </is>
      </c>
      <c r="B32" s="6" t="inlineStr">
        <is>
          <t>LAW_C_007</t>
        </is>
      </c>
      <c r="C32" s="6" t="inlineStr">
        <is>
          <t>High</t>
        </is>
      </c>
      <c r="D32" s="6" t="inlineStr">
        <is>
          <t>Lỗi API</t>
        </is>
      </c>
      <c r="E32" s="6" t="inlineStr">
        <is>
          <t>1. Mở RAG Lab / POST /api/rag/chat
2. Query: "Nghị định nào trong mục lục liên quan đến tranh chấp lao động?"</t>
        </is>
      </c>
      <c r="F32" s="6" t="inlineStr">
        <is>
          <t>Nghị định số 46/2013/NĐ-CP ngày 10/05/2013.</t>
        </is>
      </c>
      <c r="G32" s="6" t="inlineStr"/>
      <c r="H32" s="6" t="inlineStr">
        <is>
          <t>Lỗi API: chưa chạy</t>
        </is>
      </c>
      <c r="I32" s="6" t="inlineStr">
        <is>
          <t>Open (candidate)</t>
        </is>
      </c>
    </row>
    <row r="33">
      <c r="A33" s="6" t="inlineStr">
        <is>
          <t>D-032</t>
        </is>
      </c>
      <c r="B33" s="6" t="inlineStr">
        <is>
          <t>LAW_C_008</t>
        </is>
      </c>
      <c r="C33" s="6" t="inlineStr">
        <is>
          <t>High</t>
        </is>
      </c>
      <c r="D33" s="6" t="inlineStr">
        <is>
          <t>Lỗi API</t>
        </is>
      </c>
      <c r="E33" s="6" t="inlineStr">
        <is>
          <t>1. Mở RAG Lab / POST /api/rag/chat
2. Query: "BLLĐ 2019 trong bộ tổng hợp định nghĩa cưỡng bức lao động như thế nào?"</t>
        </is>
      </c>
      <c r="F33" s="6" t="inlineStr">
        <is>
          <t>Là việc dùng vũ lực, đe dọa dùng vũ lực hoặc thủ đoạn khác để ép buộc NLĐ làm việc trái ý muốn.</t>
        </is>
      </c>
      <c r="G33" s="6" t="inlineStr"/>
      <c r="H33" s="6" t="inlineStr">
        <is>
          <t>Lỗi API: chưa chạy</t>
        </is>
      </c>
      <c r="I33" s="6" t="inlineStr">
        <is>
          <t>Open (candidate)</t>
        </is>
      </c>
    </row>
    <row r="34">
      <c r="A34" s="6" t="inlineStr">
        <is>
          <t>D-033</t>
        </is>
      </c>
      <c r="B34" s="6" t="inlineStr">
        <is>
          <t>LAW_C_009</t>
        </is>
      </c>
      <c r="C34" s="6" t="inlineStr">
        <is>
          <t>High</t>
        </is>
      </c>
      <c r="D34" s="6" t="inlineStr">
        <is>
          <t>Lỗi API</t>
        </is>
      </c>
      <c r="E34" s="6" t="inlineStr">
        <is>
          <t>1. Mở RAG Lab / POST /api/rag/chat
2. Query: "BLLĐ 2019 định nghĩa phân biệt đối xử trong lao động dựa trên những nhóm căn cứ nào?"</t>
        </is>
      </c>
      <c r="F34" s="6" t="inlineStr">
        <is>
          <t>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is>
      </c>
      <c r="G34" s="6" t="inlineStr"/>
      <c r="H34" s="6" t="inlineStr">
        <is>
          <t>Lỗi API: chưa chạy</t>
        </is>
      </c>
      <c r="I34" s="6" t="inlineStr">
        <is>
          <t>Open (candidate)</t>
        </is>
      </c>
    </row>
    <row r="35">
      <c r="A35" s="6" t="inlineStr">
        <is>
          <t>D-034</t>
        </is>
      </c>
      <c r="B35" s="6" t="inlineStr">
        <is>
          <t>LAW_C_010</t>
        </is>
      </c>
      <c r="C35" s="6" t="inlineStr">
        <is>
          <t>High</t>
        </is>
      </c>
      <c r="D35" s="6" t="inlineStr">
        <is>
          <t>Lỗi API</t>
        </is>
      </c>
      <c r="E35" s="6" t="inlineStr">
        <is>
          <t>1. Mở RAG Lab / POST /api/rag/chat
2. Query: "Theo BLLĐ 2019 trong bộ tổng hợp, NLĐ có quyền từ chối làm việc trong tình huống nào?"</t>
        </is>
      </c>
      <c r="F35" s="6" t="inlineStr">
        <is>
          <t>Khi có nguy cơ rõ ràng đe dọa trực tiếp đến tính mạng, sức khỏe trong quá trình thực hiện công việc.</t>
        </is>
      </c>
      <c r="G35" s="6" t="inlineStr"/>
      <c r="H35" s="6" t="inlineStr">
        <is>
          <t>Lỗi API: chưa chạy</t>
        </is>
      </c>
      <c r="I35" s="6" t="inlineStr">
        <is>
          <t>Open (candidate)</t>
        </is>
      </c>
    </row>
    <row r="36">
      <c r="A36" s="6" t="inlineStr">
        <is>
          <t>D-035</t>
        </is>
      </c>
      <c r="B36" s="6" t="inlineStr">
        <is>
          <t>LAW_C_011</t>
        </is>
      </c>
      <c r="C36" s="6" t="inlineStr">
        <is>
          <t>High</t>
        </is>
      </c>
      <c r="D36" s="6" t="inlineStr">
        <is>
          <t>Lỗi API</t>
        </is>
      </c>
      <c r="E36" s="6" t="inlineStr">
        <is>
          <t>1. Mở RAG Lab / POST /api/rag/chat
2. Query: "Muốn tra quy định về lao động nước ngoài làm việc tại Việt Nam, mục lục gợi ý văn bản hợp nhất nào?"</t>
        </is>
      </c>
      <c r="F36" s="6" t="inlineStr">
        <is>
          <t>VBHN số 5325/VBHN-BLĐTBXH ngày 19/12/2018 về Nghị định 11/2016/NĐ-CP, được sửa đổi bởi Nghị định 140/2018/NĐ-CP.</t>
        </is>
      </c>
      <c r="G36" s="6" t="inlineStr"/>
      <c r="H36" s="6" t="inlineStr">
        <is>
          <t>Lỗi API: chưa chạy</t>
        </is>
      </c>
      <c r="I36" s="6" t="inlineStr">
        <is>
          <t>Open (candidate)</t>
        </is>
      </c>
    </row>
    <row r="37">
      <c r="A37" s="6" t="inlineStr">
        <is>
          <t>D-036</t>
        </is>
      </c>
      <c r="B37" s="6" t="inlineStr">
        <is>
          <t>LAW_C_012</t>
        </is>
      </c>
      <c r="C37" s="6" t="inlineStr">
        <is>
          <t>High</t>
        </is>
      </c>
      <c r="D37" s="6" t="inlineStr">
        <is>
          <t>Lỗi API</t>
        </is>
      </c>
      <c r="E37" s="6" t="inlineStr">
        <is>
          <t>1. Mở RAG Lab / POST /api/rag/chat
2. Query: "Muốn tra quy định về tiền lương theo hệ thống văn bản trước BLLĐ 2019, mục lục có văn bản hợp nhất nào?"</t>
        </is>
      </c>
      <c r="F37" s="6" t="inlineStr">
        <is>
          <t>VBHN số 4759/VBHN-BLĐTBXH ngày 12/11/2018 hợp nhất Nghị định 49/2013/NĐ-CP và sửa đổi liên quan.</t>
        </is>
      </c>
      <c r="G37" s="6" t="inlineStr"/>
      <c r="H37" s="6" t="inlineStr">
        <is>
          <t>Lỗi API: chưa chạy</t>
        </is>
      </c>
      <c r="I37" s="6" t="inlineStr">
        <is>
          <t>Open (candidate)</t>
        </is>
      </c>
    </row>
    <row r="38">
      <c r="A38" s="6" t="inlineStr">
        <is>
          <t>D-037</t>
        </is>
      </c>
      <c r="B38" s="6" t="inlineStr">
        <is>
          <t>LAW_C_013</t>
        </is>
      </c>
      <c r="C38" s="6" t="inlineStr">
        <is>
          <t>High</t>
        </is>
      </c>
      <c r="D38" s="6" t="inlineStr">
        <is>
          <t>Lỗi API</t>
        </is>
      </c>
      <c r="E38" s="6" t="inlineStr">
        <is>
          <t>1. Mở RAG Lab / POST /api/rag/chat
2. Query: "Văn bản nào trong mục lục quy định chi tiết về thời giờ làm việc, nghỉ ngơi và an toàn, vệ sinh lao động?"</t>
        </is>
      </c>
      <c r="F38" s="6" t="inlineStr">
        <is>
          <t>Nghị định số 45/2013/NĐ-CP ngày 10/05/2013.</t>
        </is>
      </c>
      <c r="G38" s="6" t="inlineStr"/>
      <c r="H38" s="6" t="inlineStr">
        <is>
          <t>Lỗi API: chưa chạy</t>
        </is>
      </c>
      <c r="I38" s="6" t="inlineStr">
        <is>
          <t>Open (candidate)</t>
        </is>
      </c>
    </row>
    <row r="39">
      <c r="A39" s="6" t="inlineStr">
        <is>
          <t>D-038</t>
        </is>
      </c>
      <c r="B39" s="6" t="inlineStr">
        <is>
          <t>LAW_C_014</t>
        </is>
      </c>
      <c r="C39" s="6" t="inlineStr">
        <is>
          <t>High</t>
        </is>
      </c>
      <c r="D39" s="6" t="inlineStr">
        <is>
          <t>Lỗi API</t>
        </is>
      </c>
      <c r="E39" s="6" t="inlineStr">
        <is>
          <t>1. Mở RAG Lab / POST /api/rag/chat
2. Query: "Muốn tra danh mục công việc nhẹ được sử dụng người dưới 15 tuổi, tài liệu liệt kê thông tư nào?"</t>
        </is>
      </c>
      <c r="F39" s="6" t="inlineStr">
        <is>
          <t>Thông tư số 11/2013/TT-BLĐTBXH ngày 11/06/2013.</t>
        </is>
      </c>
      <c r="G39" s="6" t="inlineStr"/>
      <c r="H39" s="6" t="inlineStr">
        <is>
          <t>Lỗi API: chưa chạy</t>
        </is>
      </c>
      <c r="I39" s="6" t="inlineStr">
        <is>
          <t>Open (candidate)</t>
        </is>
      </c>
    </row>
    <row r="40">
      <c r="A40" s="6" t="inlineStr">
        <is>
          <t>D-039</t>
        </is>
      </c>
      <c r="B40" s="6" t="inlineStr">
        <is>
          <t>LAW_C_015</t>
        </is>
      </c>
      <c r="C40" s="6" t="inlineStr">
        <is>
          <t>High</t>
        </is>
      </c>
      <c r="D40" s="6" t="inlineStr">
        <is>
          <t>Lỗi API</t>
        </is>
      </c>
      <c r="E40" s="6" t="inlineStr">
        <is>
          <t>1. Mở RAG Lab / POST /api/rag/chat
2. Query: "Một câu hỏi vừa liên quan hợp đồng lao động vừa liên quan an toàn vệ sinh lao động. Bộ tổng hợp có những nhóm nguồn nào để retrieval?"</t>
        </is>
      </c>
      <c r="F40" s="6" t="inlineStr">
        <is>
          <t>Có thể truy xuất BLLĐ 2019, Nghị định 44/2013/NĐ-CP về HĐLĐ và Luật An toàn, vệ sinh lao động 84/2015/QH13 cùng các văn bản hướng dẫn liên quan trong bộ tổng hợp.</t>
        </is>
      </c>
      <c r="G40" s="6" t="inlineStr"/>
      <c r="H40" s="6" t="inlineStr">
        <is>
          <t>Lỗi API: chưa chạy</t>
        </is>
      </c>
      <c r="I40" s="6" t="inlineStr">
        <is>
          <t>Open (candidate)</t>
        </is>
      </c>
    </row>
    <row r="41">
      <c r="A41" s="6" t="inlineStr">
        <is>
          <t>D-040</t>
        </is>
      </c>
      <c r="B41" s="6" t="inlineStr">
        <is>
          <t>LAW_C_016</t>
        </is>
      </c>
      <c r="C41" s="6" t="inlineStr">
        <is>
          <t>High</t>
        </is>
      </c>
      <c r="D41" s="6" t="inlineStr">
        <is>
          <t>Lỗi API</t>
        </is>
      </c>
      <c r="E41" s="6" t="inlineStr">
        <is>
          <t>1. Mở RAG Lab / POST /api/rag/chat
2. Query: "Tại sao tiêu đề “ĐANG CÓ HIỆU LỰC” của bộ tổng hợp không đủ để kết luận mọi văn bản trong đó còn hiệu lực vào năm 2026?"</t>
        </is>
      </c>
      <c r="F41" s="6" t="inlineStr">
        <is>
          <t>Vì trạng thái đó gắn với thời điểm cập nhật hết tháng 3/2020. Để trả lời cho năm 2026 cần nguồn cập nhật sau thời điểm này.</t>
        </is>
      </c>
      <c r="G41" s="6" t="inlineStr"/>
      <c r="H41" s="6" t="inlineStr">
        <is>
          <t>Lỗi API: chưa chạy</t>
        </is>
      </c>
      <c r="I41" s="6" t="inlineStr">
        <is>
          <t>Open (candidate)</t>
        </is>
      </c>
    </row>
    <row r="42">
      <c r="A42" s="6" t="inlineStr">
        <is>
          <t>D-041</t>
        </is>
      </c>
      <c r="B42" s="6" t="inlineStr">
        <is>
          <t>LAW_C_017</t>
        </is>
      </c>
      <c r="C42" s="6" t="inlineStr">
        <is>
          <t>High</t>
        </is>
      </c>
      <c r="D42" s="6" t="inlineStr">
        <is>
          <t>Lỗi API</t>
        </is>
      </c>
      <c r="E42" s="6" t="inlineStr">
        <is>
          <t>1. Mở RAG Lab / POST /api/rag/chat
2. Query: "“Bộ tổng hợp này chỉ chứa Bộ luật Lao động 2019” có đúng không?"</t>
        </is>
      </c>
      <c r="F42" s="6" t="inlineStr">
        <is>
          <t>Không. Mục lục cho thấy tài liệu tổng hợp nhiều luật, nghị định, quyết định và thông tư về lao động, BHXH, việc làm, công đoàn, an toàn vệ sinh lao động và các chủ đề liên quan.</t>
        </is>
      </c>
      <c r="G42" s="6" t="inlineStr"/>
      <c r="H42" s="6" t="inlineStr">
        <is>
          <t>Lỗi API: chưa chạy</t>
        </is>
      </c>
      <c r="I42" s="6" t="inlineStr">
        <is>
          <t>Open (candidate)</t>
        </is>
      </c>
    </row>
    <row r="43">
      <c r="A43" s="6" t="inlineStr">
        <is>
          <t>D-042</t>
        </is>
      </c>
      <c r="B43" s="6" t="inlineStr">
        <is>
          <t>LAW_C_018</t>
        </is>
      </c>
      <c r="C43" s="6" t="inlineStr">
        <is>
          <t>High</t>
        </is>
      </c>
      <c r="D43" s="6" t="inlineStr">
        <is>
          <t>Lỗi API</t>
        </is>
      </c>
      <c r="E43" s="6" t="inlineStr">
        <is>
          <t>1. Mở RAG Lab / POST /api/rag/chat
2. Query: "Nếu câu hỏi yêu cầu quy định BLLĐ 2019 nguyên gốc tại thời điểm ban hành, bộ tổng hợp có phù hợp không?"</t>
        </is>
      </c>
      <c r="F43" s="6" t="inlineStr">
        <is>
          <t>Có thể phù hợp vì tài liệu chứa Bộ luật Lao động 45/2019/QH14. Tuy nhiên cần phân biệt với yêu cầu “hiện hành 2026”, khi đó phải ưu tiên nguồn hợp nhất/cập nhật mới hơn.</t>
        </is>
      </c>
      <c r="G43" s="6" t="inlineStr"/>
      <c r="H43" s="6" t="inlineStr">
        <is>
          <t>Lỗi API: chưa chạy</t>
        </is>
      </c>
      <c r="I43" s="6" t="inlineStr">
        <is>
          <t>Open (candidate)</t>
        </is>
      </c>
    </row>
    <row r="44">
      <c r="A44" s="6" t="inlineStr">
        <is>
          <t>D-043</t>
        </is>
      </c>
      <c r="B44" s="6" t="inlineStr">
        <is>
          <t>LAW_C_019</t>
        </is>
      </c>
      <c r="C44" s="6" t="inlineStr">
        <is>
          <t>High</t>
        </is>
      </c>
      <c r="D44" s="6" t="inlineStr">
        <is>
          <t>Lỗi API</t>
        </is>
      </c>
      <c r="E44" s="6" t="inlineStr">
        <is>
          <t>1. Mở RAG Lab / POST /api/rag/chat
2. Query: "Một truy vấn về người lao động nước ngoài và BHXH bắt buộc nên mở rộng retrieval đến những văn bản nào trong mục lục?"</t>
        </is>
      </c>
      <c r="F44" s="6" t="inlineStr">
        <is>
          <t>Ít nhất đến văn bản về lao động nước ngoài (VBHN 5325/VBHN-BLĐTBXH) và Nghị định 143/2018/NĐ-CP về BHXH bắt buộc đối với NLĐ là công dân nước ngoài làm việc tại Việt Nam.</t>
        </is>
      </c>
      <c r="G44" s="6" t="inlineStr"/>
      <c r="H44" s="6" t="inlineStr">
        <is>
          <t>Lỗi API: chưa chạy</t>
        </is>
      </c>
      <c r="I44" s="6" t="inlineStr">
        <is>
          <t>Open (candidate)</t>
        </is>
      </c>
    </row>
    <row r="45">
      <c r="A45" s="6" t="inlineStr">
        <is>
          <t>D-044</t>
        </is>
      </c>
      <c r="B45" s="6" t="inlineStr">
        <is>
          <t>LAW_C_020</t>
        </is>
      </c>
      <c r="C45" s="6" t="inlineStr">
        <is>
          <t>High</t>
        </is>
      </c>
      <c r="D45" s="6" t="inlineStr">
        <is>
          <t>Lỗi API</t>
        </is>
      </c>
      <c r="E45" s="6" t="inlineStr">
        <is>
          <t>1. Mở RAG Lab / POST /api/rag/chat
2. Query: "Một truy vấn về lao động nữ vừa hỏi công việc bị cấm vừa hỏi chính sách bảo vệ nên retrieval đến những nguồn nào trong bộ tổng hợp?"</t>
        </is>
      </c>
      <c r="F45" s="6" t="inlineStr">
        <is>
          <t>Có thể cần Nghị định 85/2015/NĐ-CP về chính sách đối với lao động nữ và Thông tư 26/2013/TT-BLĐTBXH về danh mục công việc không được sử dụng lao động nữ, cùng quy định liên quan trong BLLĐ.</t>
        </is>
      </c>
      <c r="G45" s="6" t="inlineStr"/>
      <c r="H45" s="6" t="inlineStr">
        <is>
          <t>Lỗi API: chưa chạy</t>
        </is>
      </c>
      <c r="I45" s="6" t="inlineStr">
        <is>
          <t>Open (candidate)</t>
        </is>
      </c>
    </row>
    <row r="46">
      <c r="A46" s="6" t="inlineStr">
        <is>
          <t>D-045</t>
        </is>
      </c>
      <c r="B46" s="6" t="inlineStr">
        <is>
          <t>LAW_D_001</t>
        </is>
      </c>
      <c r="C46" s="6" t="inlineStr">
        <is>
          <t>High</t>
        </is>
      </c>
      <c r="D46" s="6" t="inlineStr">
        <is>
          <t>Lỗi API</t>
        </is>
      </c>
      <c r="E46" s="6" t="inlineStr">
        <is>
          <t>1. Mở RAG Lab / POST /api/rag/chat
2. Query: "Cẩm nang ILO-VCCI được xây dựng để hỗ trợ chủ thể nào?"</t>
        </is>
      </c>
      <c r="F46" s="6" t="inlineStr">
        <is>
          <t>Chủ yếu hỗ trợ người sử dụng lao động/doanh nghiệp cập nhật và tuân thủ các thay đổi của BLLĐ 2019.</t>
        </is>
      </c>
      <c r="G46" s="6" t="inlineStr"/>
      <c r="H46" s="6" t="inlineStr">
        <is>
          <t>Lỗi API: chưa chạy</t>
        </is>
      </c>
      <c r="I46" s="6" t="inlineStr">
        <is>
          <t>Open (candidate)</t>
        </is>
      </c>
    </row>
    <row r="47">
      <c r="A47" s="6" t="inlineStr">
        <is>
          <t>D-046</t>
        </is>
      </c>
      <c r="B47" s="6" t="inlineStr">
        <is>
          <t>LAW_D_002</t>
        </is>
      </c>
      <c r="C47" s="6" t="inlineStr">
        <is>
          <t>High</t>
        </is>
      </c>
      <c r="D47" s="6" t="inlineStr">
        <is>
          <t>Lỗi API</t>
        </is>
      </c>
      <c r="E47" s="6" t="inlineStr">
        <is>
          <t>1. Mở RAG Lab / POST /api/rag/chat
2. Query: "Cẩm nang so sánh chủ yếu hai phiên bản Bộ luật Lao động nào?"</t>
        </is>
      </c>
      <c r="F47" s="6" t="inlineStr">
        <is>
          <t>BLLĐ 2012 và BLLĐ 2019.</t>
        </is>
      </c>
      <c r="G47" s="6" t="inlineStr"/>
      <c r="H47" s="6" t="inlineStr">
        <is>
          <t>Lỗi API: chưa chạy</t>
        </is>
      </c>
      <c r="I47" s="6" t="inlineStr">
        <is>
          <t>Open (candidate)</t>
        </is>
      </c>
    </row>
    <row r="48">
      <c r="A48" s="6" t="inlineStr">
        <is>
          <t>D-047</t>
        </is>
      </c>
      <c r="B48" s="6" t="inlineStr">
        <is>
          <t>LAW_D_003</t>
        </is>
      </c>
      <c r="C48" s="6" t="inlineStr">
        <is>
          <t>High</t>
        </is>
      </c>
      <c r="D48" s="6" t="inlineStr">
        <is>
          <t>Lỗi API</t>
        </is>
      </c>
      <c r="E48" s="6" t="inlineStr">
        <is>
          <t>1. Mở RAG Lab / POST /api/rag/chat
2. Query: "Cẩm nang tập trung vào những nhóm nội dung chính nào?"</t>
        </is>
      </c>
      <c r="F48" s="6" t="inlineStr">
        <is>
          <t>Gồm quan hệ/HĐLĐ, chấm dứt HĐLĐ, tiền lương, nghỉ lễ-tết và làm thêm giờ, nghỉ hưu, lao động nữ, kỷ luật lao động; đồng thời có đối thoại và thương lượng tập thể.</t>
        </is>
      </c>
      <c r="G48" s="6" t="inlineStr"/>
      <c r="H48" s="6" t="inlineStr">
        <is>
          <t>Lỗi API: chưa chạy</t>
        </is>
      </c>
      <c r="I48" s="6" t="inlineStr">
        <is>
          <t>Open (candidate)</t>
        </is>
      </c>
    </row>
    <row r="49">
      <c r="A49" s="6" t="inlineStr">
        <is>
          <t>D-048</t>
        </is>
      </c>
      <c r="B49" s="6" t="inlineStr">
        <is>
          <t>LAW_D_004</t>
        </is>
      </c>
      <c r="C49" s="6" t="inlineStr">
        <is>
          <t>High</t>
        </is>
      </c>
      <c r="D49" s="6" t="inlineStr">
        <is>
          <t>Lỗi API</t>
        </is>
      </c>
      <c r="E49" s="6" t="inlineStr">
        <is>
          <t>1. Mở RAG Lab / POST /api/rag/chat
2. Query: "Chương I của cẩm nang nói về chủ đề gì?"</t>
        </is>
      </c>
      <c r="F49" s="6" t="inlineStr">
        <is>
          <t>Quan hệ lao động và hợp đồng lao động.</t>
        </is>
      </c>
      <c r="G49" s="6" t="inlineStr"/>
      <c r="H49" s="6" t="inlineStr">
        <is>
          <t>Lỗi API: chưa chạy</t>
        </is>
      </c>
      <c r="I49" s="6" t="inlineStr">
        <is>
          <t>Open (candidate)</t>
        </is>
      </c>
    </row>
    <row r="50">
      <c r="A50" s="6" t="inlineStr">
        <is>
          <t>D-049</t>
        </is>
      </c>
      <c r="B50" s="6" t="inlineStr">
        <is>
          <t>LAW_D_005</t>
        </is>
      </c>
      <c r="C50" s="6" t="inlineStr">
        <is>
          <t>High</t>
        </is>
      </c>
      <c r="D50" s="6" t="inlineStr">
        <is>
          <t>Lỗi API</t>
        </is>
      </c>
      <c r="E50" s="6" t="inlineStr">
        <is>
          <t>1. Mở RAG Lab / POST /api/rag/chat
2. Query: "Cẩm nang có nội dung riêng về thử việc không?"</t>
        </is>
      </c>
      <c r="F50" s="6" t="inlineStr">
        <is>
          <t>Có. Mục lục Chương I có phần về thử việc.</t>
        </is>
      </c>
      <c r="G50" s="6" t="inlineStr"/>
      <c r="H50" s="6" t="inlineStr">
        <is>
          <t>Lỗi API: chưa chạy</t>
        </is>
      </c>
      <c r="I50" s="6" t="inlineStr">
        <is>
          <t>Open (candidate)</t>
        </is>
      </c>
    </row>
    <row r="51">
      <c r="A51" s="6" t="inlineStr">
        <is>
          <t>D-050</t>
        </is>
      </c>
      <c r="B51" s="6" t="inlineStr">
        <is>
          <t>LAW_D_006</t>
        </is>
      </c>
      <c r="C51" s="6" t="inlineStr">
        <is>
          <t>High</t>
        </is>
      </c>
      <c r="D51" s="6" t="inlineStr">
        <is>
          <t>Lỗi API</t>
        </is>
      </c>
      <c r="E51" s="6" t="inlineStr">
        <is>
          <t>1. Mở RAG Lab / POST /api/rag/chat
2. Query: "Cẩm nang có chương riêng về xử lý kỷ luật lao động không?"</t>
        </is>
      </c>
      <c r="F51" s="6" t="inlineStr">
        <is>
          <t>Có. Chương III là Xử lý kỷ luật lao động.</t>
        </is>
      </c>
      <c r="G51" s="6" t="inlineStr"/>
      <c r="H51" s="6" t="inlineStr">
        <is>
          <t>Lỗi API: chưa chạy</t>
        </is>
      </c>
      <c r="I51" s="6" t="inlineStr">
        <is>
          <t>Open (candidate)</t>
        </is>
      </c>
    </row>
    <row r="52">
      <c r="A52" s="6" t="inlineStr">
        <is>
          <t>D-051</t>
        </is>
      </c>
      <c r="B52" s="6" t="inlineStr">
        <is>
          <t>LAW_D_007</t>
        </is>
      </c>
      <c r="C52" s="6" t="inlineStr">
        <is>
          <t>High</t>
        </is>
      </c>
      <c r="D52" s="6" t="inlineStr">
        <is>
          <t>Lỗi API</t>
        </is>
      </c>
      <c r="E52" s="6" t="inlineStr">
        <is>
          <t>1. Mở RAG Lab / POST /api/rag/chat
2. Query: "Cẩm nang có nội dung về tiền lương làm thêm giờ và làm việc ban đêm không?"</t>
        </is>
      </c>
      <c r="F52" s="6" t="inlineStr">
        <is>
          <t>Có. Mục lục có mục riêng “Tiền lương làm thêm giờ, làm việc vào ban đêm”.</t>
        </is>
      </c>
      <c r="G52" s="6" t="inlineStr"/>
      <c r="H52" s="6" t="inlineStr">
        <is>
          <t>Lỗi API: chưa chạy</t>
        </is>
      </c>
      <c r="I52" s="6" t="inlineStr">
        <is>
          <t>Open (candidate)</t>
        </is>
      </c>
    </row>
    <row r="53">
      <c r="A53" s="6" t="inlineStr">
        <is>
          <t>D-052</t>
        </is>
      </c>
      <c r="B53" s="6" t="inlineStr">
        <is>
          <t>LAW_D_008</t>
        </is>
      </c>
      <c r="C53" s="6" t="inlineStr">
        <is>
          <t>High</t>
        </is>
      </c>
      <c r="D53" s="6" t="inlineStr">
        <is>
          <t>Lỗi API</t>
        </is>
      </c>
      <c r="E53" s="6" t="inlineStr">
        <is>
          <t>1. Mở RAG Lab / POST /api/rag/chat
2. Query: "Cẩm nang tiếp cận các thay đổi của BLLĐ 2019 theo cách nào?"</t>
        </is>
      </c>
      <c r="F53" s="6" t="inlineStr">
        <is>
          <t>Làm rõ khác biệt giữa BLLĐ 2012 và 2019 cùng văn bản liên quan, sau đó đưa ra giải pháp/kiến nghị để doanh nghiệp điều chỉnh và tuân thủ.</t>
        </is>
      </c>
      <c r="G53" s="6" t="inlineStr"/>
      <c r="H53" s="6" t="inlineStr">
        <is>
          <t>Lỗi API: chưa chạy</t>
        </is>
      </c>
      <c r="I53" s="6" t="inlineStr">
        <is>
          <t>Open (candidate)</t>
        </is>
      </c>
    </row>
    <row r="54">
      <c r="A54" s="6" t="inlineStr">
        <is>
          <t>D-053</t>
        </is>
      </c>
      <c r="B54" s="6" t="inlineStr">
        <is>
          <t>LAW_D_009</t>
        </is>
      </c>
      <c r="C54" s="6" t="inlineStr">
        <is>
          <t>High</t>
        </is>
      </c>
      <c r="D54" s="6" t="inlineStr">
        <is>
          <t>Lỗi API</t>
        </is>
      </c>
      <c r="E54" s="6" t="inlineStr">
        <is>
          <t>1. Mở RAG Lab / POST /api/rag/chat
2. Query: "Muốn tìm dấu hiệu nhận biết quan hệ lao động, cần truy xuất phần nào?"</t>
        </is>
      </c>
      <c r="F54" s="6" t="inlineStr">
        <is>
          <t>Chương I, mục I - Quan hệ lao động, phần “Dấu hiệu nhận biết quan hệ lao động”.</t>
        </is>
      </c>
      <c r="G54" s="6" t="inlineStr"/>
      <c r="H54" s="6" t="inlineStr">
        <is>
          <t>Lỗi API: chưa chạy</t>
        </is>
      </c>
      <c r="I54" s="6" t="inlineStr">
        <is>
          <t>Open (candidate)</t>
        </is>
      </c>
    </row>
    <row r="55">
      <c r="A55" s="6" t="inlineStr">
        <is>
          <t>D-054</t>
        </is>
      </c>
      <c r="B55" s="6" t="inlineStr">
        <is>
          <t>LAW_D_010</t>
        </is>
      </c>
      <c r="C55" s="6" t="inlineStr">
        <is>
          <t>High</t>
        </is>
      </c>
      <c r="D55" s="6" t="inlineStr">
        <is>
          <t>Lỗi API</t>
        </is>
      </c>
      <c r="E55" s="6" t="inlineStr">
        <is>
          <t>1. Mở RAG Lab / POST /api/rag/chat
2. Query: "Muốn tìm thay đổi về quyền NLĐ đơn phương chấm dứt HĐLĐ, cần truy xuất phần nào?"</t>
        </is>
      </c>
      <c r="F55" s="6" t="inlineStr">
        <is>
          <t>Chương về chấm dứt HĐLĐ, mục nêu “Những điểm mới liên quan đến việc NLĐ đơn phương chấm dứt HĐLĐ”.</t>
        </is>
      </c>
      <c r="G55" s="6" t="inlineStr"/>
      <c r="H55" s="6" t="inlineStr">
        <is>
          <t>Lỗi API: chưa chạy</t>
        </is>
      </c>
      <c r="I55" s="6" t="inlineStr">
        <is>
          <t>Open (candidate)</t>
        </is>
      </c>
    </row>
    <row r="56">
      <c r="A56" s="6" t="inlineStr">
        <is>
          <t>D-055</t>
        </is>
      </c>
      <c r="B56" s="6" t="inlineStr">
        <is>
          <t>LAW_D_011</t>
        </is>
      </c>
      <c r="C56" s="6" t="inlineStr">
        <is>
          <t>High</t>
        </is>
      </c>
      <c r="D56" s="6" t="inlineStr">
        <is>
          <t>Lỗi API</t>
        </is>
      </c>
      <c r="E56" s="6" t="inlineStr">
        <is>
          <t>1. Mở RAG Lab / POST /api/rag/chat
2. Query: "Câu hỏi doanh nghiệp cho thôi việc do thay đổi cơ cấu, công nghệ hoặc lý do kinh tế cần truy xuất phần nào?"</t>
        </is>
      </c>
      <c r="F56" s="6" t="inlineStr">
        <is>
          <t>Phần III về chấm dứt HĐLĐ do thay đổi cơ cấu, công nghệ hoặc vì lý do kinh tế, gồm căn cứ và quy trình cho thôi việc.</t>
        </is>
      </c>
      <c r="G56" s="6" t="inlineStr"/>
      <c r="H56" s="6" t="inlineStr">
        <is>
          <t>Lỗi API: chưa chạy</t>
        </is>
      </c>
      <c r="I56" s="6" t="inlineStr">
        <is>
          <t>Open (candidate)</t>
        </is>
      </c>
    </row>
    <row r="57">
      <c r="A57" s="6" t="inlineStr">
        <is>
          <t>D-056</t>
        </is>
      </c>
      <c r="B57" s="6" t="inlineStr">
        <is>
          <t>LAW_D_012</t>
        </is>
      </c>
      <c r="C57" s="6" t="inlineStr">
        <is>
          <t>High</t>
        </is>
      </c>
      <c r="D57" s="6" t="inlineStr">
        <is>
          <t>Lỗi API</t>
        </is>
      </c>
      <c r="E57" s="6" t="inlineStr">
        <is>
          <t>1. Mở RAG Lab / POST /api/rag/chat
2. Query: "Muốn tra các hình thức xử lý kỷ luật lao động, cần vào phần nào?"</t>
        </is>
      </c>
      <c r="F57" s="6" t="inlineStr">
        <is>
          <t>Chương III - Xử lý kỷ luật lao động, mục II “Các hình thức xử lý kỷ luật lao động”.</t>
        </is>
      </c>
      <c r="G57" s="6" t="inlineStr"/>
      <c r="H57" s="6" t="inlineStr">
        <is>
          <t>Lỗi API: chưa chạy</t>
        </is>
      </c>
      <c r="I57" s="6" t="inlineStr">
        <is>
          <t>Open (candidate)</t>
        </is>
      </c>
    </row>
    <row r="58">
      <c r="A58" s="6" t="inlineStr">
        <is>
          <t>D-057</t>
        </is>
      </c>
      <c r="B58" s="6" t="inlineStr">
        <is>
          <t>LAW_D_013</t>
        </is>
      </c>
      <c r="C58" s="6" t="inlineStr">
        <is>
          <t>High</t>
        </is>
      </c>
      <c r="D58" s="6" t="inlineStr">
        <is>
          <t>Lỗi API</t>
        </is>
      </c>
      <c r="E58" s="6" t="inlineStr">
        <is>
          <t>1. Mở RAG Lab / POST /api/rag/chat
2. Query: "Muốn tra kỳ hạn trả lương, cần tìm mục nào?"</t>
        </is>
      </c>
      <c r="F58" s="6" t="inlineStr">
        <is>
          <t>Mục “Kỳ hạn trả lương” trong chương/phần về tiền lương.</t>
        </is>
      </c>
      <c r="G58" s="6" t="inlineStr"/>
      <c r="H58" s="6" t="inlineStr">
        <is>
          <t>Lỗi API: chưa chạy</t>
        </is>
      </c>
      <c r="I58" s="6" t="inlineStr">
        <is>
          <t>Open (candidate)</t>
        </is>
      </c>
    </row>
    <row r="59">
      <c r="A59" s="6" t="inlineStr">
        <is>
          <t>D-058</t>
        </is>
      </c>
      <c r="B59" s="6" t="inlineStr">
        <is>
          <t>LAW_D_014</t>
        </is>
      </c>
      <c r="C59" s="6" t="inlineStr">
        <is>
          <t>High</t>
        </is>
      </c>
      <c r="D59" s="6" t="inlineStr">
        <is>
          <t>Lỗi API</t>
        </is>
      </c>
      <c r="E59" s="6" t="inlineStr">
        <is>
          <t>1. Mở RAG Lab / POST /api/rag/chat
2. Query: "Cẩm nang có áp dụng chi tiết cho doanh nghiệp cho thuê lại lao động không?"</t>
        </is>
      </c>
      <c r="F59" s="6" t="inlineStr">
        <is>
          <t>Không phải trọng tâm. Tài liệu lưu ý phạm vi dành cho đa số doanh nghiệp sản xuất kinh doanh; doanh nghiệp kinh doanh có điều kiện như cho thuê lại lao động được hướng dẫn chi tiết ở tài liệu khác.</t>
        </is>
      </c>
      <c r="G59" s="6" t="inlineStr"/>
      <c r="H59" s="6" t="inlineStr">
        <is>
          <t>Lỗi API: chưa chạy</t>
        </is>
      </c>
      <c r="I59" s="6" t="inlineStr">
        <is>
          <t>Open (candidate)</t>
        </is>
      </c>
    </row>
    <row r="60">
      <c r="A60" s="6" t="inlineStr">
        <is>
          <t>D-059</t>
        </is>
      </c>
      <c r="B60" s="6" t="inlineStr">
        <is>
          <t>LAW_D_015</t>
        </is>
      </c>
      <c r="C60" s="6" t="inlineStr">
        <is>
          <t>High</t>
        </is>
      </c>
      <c r="D60" s="6" t="inlineStr">
        <is>
          <t>Lỗi API</t>
        </is>
      </c>
      <c r="E60" s="6" t="inlineStr">
        <is>
          <t>1. Mở RAG Lab / POST /api/rag/chat
2. Query: "Một doanh nghiệp hỏi vừa về chuyển NLĐ sang công việc khác vừa về chấm dứt HĐLĐ do thay đổi cơ cấu. Retrieval nên lấy những phần nào?"</t>
        </is>
      </c>
      <c r="F60" s="6" t="inlineStr">
        <is>
          <t>Cần kết hợp nội dung Chương I về chuyển NLĐ làm công việc khác so với HĐLĐ với phần chấm dứt HĐLĐ do thay đổi cơ cấu, công nghệ/lý do kinh tế.</t>
        </is>
      </c>
      <c r="G60" s="6" t="inlineStr"/>
      <c r="H60" s="6" t="inlineStr">
        <is>
          <t>Lỗi API: chưa chạy</t>
        </is>
      </c>
      <c r="I60" s="6" t="inlineStr">
        <is>
          <t>Open (candidate)</t>
        </is>
      </c>
    </row>
    <row r="61">
      <c r="A61" s="6" t="inlineStr">
        <is>
          <t>D-060</t>
        </is>
      </c>
      <c r="B61" s="6" t="inlineStr">
        <is>
          <t>LAW_D_016</t>
        </is>
      </c>
      <c r="C61" s="6" t="inlineStr">
        <is>
          <t>High</t>
        </is>
      </c>
      <c r="D61" s="6" t="inlineStr">
        <is>
          <t>Lỗi API</t>
        </is>
      </c>
      <c r="E61" s="6" t="inlineStr">
        <is>
          <t>1. Mở RAG Lab / POST /api/rag/chat
2. Query: "Một câu hỏi về làm thêm vào ngày lễ vừa liên quan thời giờ nghỉ vừa liên quan tiền lương. Cẩm nang định hướng retrieval qua những nhóm nội dung nào?"</t>
        </is>
      </c>
      <c r="F61" s="6" t="inlineStr">
        <is>
          <t>Cần kết hợp phần ngày nghỉ lễ, tết/quy định làm thêm giờ với phần tiền lương, đặc biệt tiền lương làm thêm giờ và làm việc ban đêm.</t>
        </is>
      </c>
      <c r="G61" s="6" t="inlineStr"/>
      <c r="H61" s="6" t="inlineStr">
        <is>
          <t>Lỗi API: chưa chạy</t>
        </is>
      </c>
      <c r="I61" s="6" t="inlineStr">
        <is>
          <t>Open (candidate)</t>
        </is>
      </c>
    </row>
    <row r="62">
      <c r="A62" s="6" t="inlineStr">
        <is>
          <t>D-061</t>
        </is>
      </c>
      <c r="B62" s="6" t="inlineStr">
        <is>
          <t>LAW_D_017</t>
        </is>
      </c>
      <c r="C62" s="6" t="inlineStr">
        <is>
          <t>High</t>
        </is>
      </c>
      <c r="D62" s="6" t="inlineStr">
        <is>
          <t>Lỗi API</t>
        </is>
      </c>
      <c r="E62" s="6" t="inlineStr">
        <is>
          <t>1. Mở RAG Lab / POST /api/rag/chat
2. Query: "Vì sao cẩm nang phù hợp để test câu hỏi “điểm mới” hơn một văn bản luật thuần túy?"</t>
        </is>
      </c>
      <c r="F62" s="6" t="inlineStr">
        <is>
          <t>Vì cẩm nang chủ động so sánh BLLĐ 2012 với BLLĐ 2019 và giải thích thay đổi, thay vì chỉ trình bày điều khoản hiện hành.</t>
        </is>
      </c>
      <c r="G62" s="6" t="inlineStr"/>
      <c r="H62" s="6" t="inlineStr">
        <is>
          <t>Lỗi API: chưa chạy</t>
        </is>
      </c>
      <c r="I62" s="6" t="inlineStr">
        <is>
          <t>Open (candidate)</t>
        </is>
      </c>
    </row>
    <row r="63">
      <c r="A63" s="6" t="inlineStr">
        <is>
          <t>D-062</t>
        </is>
      </c>
      <c r="B63" s="6" t="inlineStr">
        <is>
          <t>LAW_D_018</t>
        </is>
      </c>
      <c r="C63" s="6" t="inlineStr">
        <is>
          <t>High</t>
        </is>
      </c>
      <c r="D63" s="6" t="inlineStr">
        <is>
          <t>Lỗi API</t>
        </is>
      </c>
      <c r="E63" s="6" t="inlineStr">
        <is>
          <t>1. Mở RAG Lab / POST /api/rag/chat
2. Query: "Nếu cẩm nang nói một quy định “mới” của BLLĐ 2019, RAG có nên tự suy ra đó vẫn là quy định mới nhất năm 2026 không?"</t>
        </is>
      </c>
      <c r="F63" s="6" t="inlineStr">
        <is>
          <t>Không. Cẩm nang xuất bản năm 2021 và tự lưu ý có thể có quy định mới chưa kịp cập nhật; câu hỏi hiện hành 2026 cần đối chiếu nguồn pháp luật cập nhật hơn.</t>
        </is>
      </c>
      <c r="G63" s="6" t="inlineStr"/>
      <c r="H63" s="6" t="inlineStr">
        <is>
          <t>Lỗi API: chưa chạy</t>
        </is>
      </c>
      <c r="I63" s="6" t="inlineStr">
        <is>
          <t>Open (candidate)</t>
        </is>
      </c>
    </row>
    <row r="64">
      <c r="A64" s="6" t="inlineStr">
        <is>
          <t>D-063</t>
        </is>
      </c>
      <c r="B64" s="6" t="inlineStr">
        <is>
          <t>LAW_D_019</t>
        </is>
      </c>
      <c r="C64" s="6" t="inlineStr">
        <is>
          <t>High</t>
        </is>
      </c>
      <c r="D64" s="6" t="inlineStr">
        <is>
          <t>Lỗi API</t>
        </is>
      </c>
      <c r="E64" s="6" t="inlineStr">
        <is>
          <t>1. Mở RAG Lab / POST /api/rag/chat
2. Query: "Mục tiêu của cẩm nang đối với quản trị doanh nghiệp là gì ngoài việc “biết luật”?"</t>
        </is>
      </c>
      <c r="F64" s="6" t="inlineStr">
        <is>
          <t>Giúp NSDLĐ nhận diện thay đổi pháp luật để tuân thủ, cải cách bộ máy quản lý và tổ chức đối thoại/thương lượng tập thể, qua đó hạn chế mâu thuẫn trong quan hệ lao động.</t>
        </is>
      </c>
      <c r="G64" s="6" t="inlineStr"/>
      <c r="H64" s="6" t="inlineStr">
        <is>
          <t>Lỗi API: chưa chạy</t>
        </is>
      </c>
      <c r="I64" s="6" t="inlineStr">
        <is>
          <t>Open (candidate)</t>
        </is>
      </c>
    </row>
    <row r="65">
      <c r="A65" s="6" t="inlineStr">
        <is>
          <t>D-064</t>
        </is>
      </c>
      <c r="B65" s="6" t="inlineStr">
        <is>
          <t>LAW_D_020</t>
        </is>
      </c>
      <c r="C65" s="6" t="inlineStr">
        <is>
          <t>High</t>
        </is>
      </c>
      <c r="D65" s="6" t="inlineStr">
        <is>
          <t>Lỗi API</t>
        </is>
      </c>
      <c r="E65" s="6" t="inlineStr">
        <is>
          <t>1. Mở RAG Lab / POST /api/rag/chat
2. Query: "Doanh nghiệp hỏi một tình huống vừa có dấu hiệu quan hệ lao động, thử việc và sau đó sa thải. Retrieval tối thiểu nên phủ những phần nào của cẩm nang?"</t>
        </is>
      </c>
      <c r="F65" s="6" t="inlineStr">
        <is>
          <t>Ít nhất Chương I về quan hệ lao động/HĐLĐ và thử việc, cùng Chương III về xử lý kỷ luật lao động/sa thải; nếu có chấm dứt HĐLĐ ngoài kỷ luật thì cần thêm chương chấm dứt HĐLĐ.</t>
        </is>
      </c>
      <c r="G65" s="6" t="inlineStr"/>
      <c r="H65" s="6" t="inlineStr">
        <is>
          <t>Lỗi API: chưa chạy</t>
        </is>
      </c>
      <c r="I65" s="6" t="inlineStr">
        <is>
          <t>Open (candidate)</t>
        </is>
      </c>
    </row>
    <row r="66">
      <c r="A66" s="6" t="inlineStr">
        <is>
          <t>D-065</t>
        </is>
      </c>
      <c r="B66" s="6" t="inlineStr">
        <is>
          <t>LAW_E_001</t>
        </is>
      </c>
      <c r="C66" s="6" t="inlineStr">
        <is>
          <t>High</t>
        </is>
      </c>
      <c r="D66" s="6" t="inlineStr">
        <is>
          <t>Lỗi API</t>
        </is>
      </c>
      <c r="E66" s="6" t="inlineStr">
        <is>
          <t>1. Mở RAG Lab / POST /api/rag/chat
2. Query: "Bộ luật Lao động trong văn bản hợp nhất có hiệu lực gốc từ ngày nào?"</t>
        </is>
      </c>
      <c r="F66" s="6" t="inlineStr">
        <is>
          <t>Bộ luật Lao động 45/2019/QH14 có hiệu lực từ ngày 01/01/2021.</t>
        </is>
      </c>
      <c r="G66" s="6" t="inlineStr"/>
      <c r="H66" s="6" t="inlineStr">
        <is>
          <t>Lỗi API: chưa chạy</t>
        </is>
      </c>
      <c r="I66" s="6" t="inlineStr">
        <is>
          <t>Open (candidate)</t>
        </is>
      </c>
    </row>
    <row r="67">
      <c r="A67" s="6" t="inlineStr">
        <is>
          <t>D-066</t>
        </is>
      </c>
      <c r="B67" s="6" t="inlineStr">
        <is>
          <t>LAW_E_002</t>
        </is>
      </c>
      <c r="C67" s="6" t="inlineStr">
        <is>
          <t>High</t>
        </is>
      </c>
      <c r="D67" s="6" t="inlineStr">
        <is>
          <t>Lỗi API</t>
        </is>
      </c>
      <c r="E67" s="6" t="inlineStr">
        <is>
          <t>1. Mở RAG Lab / POST /api/rag/chat
2. Query: "Theo Điều 3, người lao động được định nghĩa như thế nào?"</t>
        </is>
      </c>
      <c r="F67" s="6" t="inlineStr">
        <is>
          <t>Là người làm việc cho NSDLĐ theo thỏa thuận, được trả lương và chịu sự quản lý, điều hành, giám sát của NSDLĐ.</t>
        </is>
      </c>
      <c r="G67" s="6" t="inlineStr"/>
      <c r="H67" s="6" t="inlineStr">
        <is>
          <t>Lỗi API: chưa chạy</t>
        </is>
      </c>
      <c r="I67" s="6" t="inlineStr">
        <is>
          <t>Open (candidate)</t>
        </is>
      </c>
    </row>
    <row r="68">
      <c r="A68" s="6" t="inlineStr">
        <is>
          <t>D-067</t>
        </is>
      </c>
      <c r="B68" s="6" t="inlineStr">
        <is>
          <t>LAW_E_003</t>
        </is>
      </c>
      <c r="C68" s="6" t="inlineStr">
        <is>
          <t>High</t>
        </is>
      </c>
      <c r="D68" s="6" t="inlineStr">
        <is>
          <t>Lỗi API</t>
        </is>
      </c>
      <c r="E68" s="6" t="inlineStr">
        <is>
          <t>1. Mở RAG Lab / POST /api/rag/chat
2. Query: "Độ tuổi lao động tối thiểu theo định nghĩa chung là bao nhiêu?"</t>
        </is>
      </c>
      <c r="F68" s="6" t="inlineStr">
        <is>
          <t>Đủ 15 tuổi, trừ trường hợp được quy định riêng tại Mục 1 Chương XI.</t>
        </is>
      </c>
      <c r="G68" s="6" t="inlineStr"/>
      <c r="H68" s="6" t="inlineStr">
        <is>
          <t>Lỗi API: chưa chạy</t>
        </is>
      </c>
      <c r="I68" s="6" t="inlineStr">
        <is>
          <t>Open (candidate)</t>
        </is>
      </c>
    </row>
    <row r="69">
      <c r="A69" s="6" t="inlineStr">
        <is>
          <t>D-068</t>
        </is>
      </c>
      <c r="B69" s="6" t="inlineStr">
        <is>
          <t>LAW_E_004</t>
        </is>
      </c>
      <c r="C69" s="6" t="inlineStr">
        <is>
          <t>High</t>
        </is>
      </c>
      <c r="D69" s="6" t="inlineStr">
        <is>
          <t>Lỗi API</t>
        </is>
      </c>
      <c r="E69" s="6" t="inlineStr">
        <is>
          <t>1. Mở RAG Lab / POST /api/rag/chat
2. Query: "Quan hệ lao động bao gồm những loại nào?"</t>
        </is>
      </c>
      <c r="F69" s="6" t="inlineStr">
        <is>
          <t>Bao gồm quan hệ lao động cá nhân và quan hệ lao động tập thể.</t>
        </is>
      </c>
      <c r="G69" s="6" t="inlineStr"/>
      <c r="H69" s="6" t="inlineStr">
        <is>
          <t>Lỗi API: chưa chạy</t>
        </is>
      </c>
      <c r="I69" s="6" t="inlineStr">
        <is>
          <t>Open (candidate)</t>
        </is>
      </c>
    </row>
    <row r="70">
      <c r="A70" s="6" t="inlineStr">
        <is>
          <t>D-069</t>
        </is>
      </c>
      <c r="B70" s="6" t="inlineStr">
        <is>
          <t>LAW_E_005</t>
        </is>
      </c>
      <c r="C70" s="6" t="inlineStr">
        <is>
          <t>High</t>
        </is>
      </c>
      <c r="D70" s="6" t="inlineStr">
        <is>
          <t>Lỗi API</t>
        </is>
      </c>
      <c r="E70" s="6" t="inlineStr">
        <is>
          <t>1. Mở RAG Lab / POST /api/rag/chat
2. Query: "NSDLĐ có được giữ bản chính giấy tờ tùy thân, văn bằng, chứng chỉ của NLĐ không?"</t>
        </is>
      </c>
      <c r="F70" s="6" t="inlineStr">
        <is>
          <t>Không. Điều 17 cấm NSDLĐ giữ bản chính các giấy tờ này khi giao kết, thực hiện HĐLĐ.</t>
        </is>
      </c>
      <c r="G70" s="6" t="inlineStr"/>
      <c r="H70" s="6" t="inlineStr">
        <is>
          <t>Lỗi API: chưa chạy</t>
        </is>
      </c>
      <c r="I70" s="6" t="inlineStr">
        <is>
          <t>Open (candidate)</t>
        </is>
      </c>
    </row>
    <row r="71">
      <c r="A71" s="6" t="inlineStr">
        <is>
          <t>D-070</t>
        </is>
      </c>
      <c r="B71" s="6" t="inlineStr">
        <is>
          <t>LAW_E_006</t>
        </is>
      </c>
      <c r="C71" s="6" t="inlineStr">
        <is>
          <t>High</t>
        </is>
      </c>
      <c r="D71" s="6" t="inlineStr">
        <is>
          <t>Lỗi API</t>
        </is>
      </c>
      <c r="E71" s="6" t="inlineStr">
        <is>
          <t>1. Mở RAG Lab / POST /api/rag/chat
2. Query: "HĐLĐ xác định thời hạn tối đa bao nhiêu tháng theo Điều 20?"</t>
        </is>
      </c>
      <c r="F71" s="6" t="inlineStr">
        <is>
          <t>Không quá 36 tháng kể từ thời điểm có hiệu lực của hợp đồng.</t>
        </is>
      </c>
      <c r="G71" s="6" t="inlineStr"/>
      <c r="H71" s="6" t="inlineStr">
        <is>
          <t>Lỗi API: chưa chạy</t>
        </is>
      </c>
      <c r="I71" s="6" t="inlineStr">
        <is>
          <t>Open (candidate)</t>
        </is>
      </c>
    </row>
    <row r="72">
      <c r="A72" s="6" t="inlineStr">
        <is>
          <t>D-071</t>
        </is>
      </c>
      <c r="B72" s="6" t="inlineStr">
        <is>
          <t>LAW_E_007</t>
        </is>
      </c>
      <c r="C72" s="6" t="inlineStr">
        <is>
          <t>High</t>
        </is>
      </c>
      <c r="D72" s="6" t="inlineStr">
        <is>
          <t>Lỗi API</t>
        </is>
      </c>
      <c r="E72" s="6" t="inlineStr">
        <is>
          <t>1. Mở RAG Lab / POST /api/rag/chat
2. Query: "Có áp dụng thử việc với HĐLĐ dưới 01 tháng không?"</t>
        </is>
      </c>
      <c r="F72" s="6" t="inlineStr">
        <is>
          <t>Không. Điều 24 quy định không áp dụng thử việc với NLĐ giao kết HĐLĐ có thời hạn dưới 01 tháng.</t>
        </is>
      </c>
      <c r="G72" s="6" t="inlineStr"/>
      <c r="H72" s="6" t="inlineStr">
        <is>
          <t>Lỗi API: chưa chạy</t>
        </is>
      </c>
      <c r="I72" s="6" t="inlineStr">
        <is>
          <t>Open (candidate)</t>
        </is>
      </c>
    </row>
    <row r="73">
      <c r="A73" s="6" t="inlineStr">
        <is>
          <t>D-072</t>
        </is>
      </c>
      <c r="B73" s="6" t="inlineStr">
        <is>
          <t>LAW_E_008</t>
        </is>
      </c>
      <c r="C73" s="6" t="inlineStr">
        <is>
          <t>High</t>
        </is>
      </c>
      <c r="D73" s="6" t="inlineStr">
        <is>
          <t>Lỗi API</t>
        </is>
      </c>
      <c r="E73" s="6" t="inlineStr">
        <is>
          <t>1. Mở RAG Lab / POST /api/rag/chat
2. Query: "Thời gian thử việc tối đa đối với người quản lý doanh nghiệp là bao lâu?"</t>
        </is>
      </c>
      <c r="F73" s="6" t="inlineStr">
        <is>
          <t>Không quá 180 ngày.</t>
        </is>
      </c>
      <c r="G73" s="6" t="inlineStr"/>
      <c r="H73" s="6" t="inlineStr">
        <is>
          <t>Lỗi API: chưa chạy</t>
        </is>
      </c>
      <c r="I73" s="6" t="inlineStr">
        <is>
          <t>Open (candidate)</t>
        </is>
      </c>
    </row>
    <row r="74">
      <c r="A74" s="6" t="inlineStr">
        <is>
          <t>D-073</t>
        </is>
      </c>
      <c r="B74" s="6" t="inlineStr">
        <is>
          <t>LAW_E_009</t>
        </is>
      </c>
      <c r="C74" s="6" t="inlineStr">
        <is>
          <t>High</t>
        </is>
      </c>
      <c r="D74" s="6" t="inlineStr">
        <is>
          <t>Lỗi API</t>
        </is>
      </c>
      <c r="E74" s="6" t="inlineStr">
        <is>
          <t>1. Mở RAG Lab / POST /api/rag/chat
2. Query: "Khi tạm thời chuyển NLĐ làm công việc khác so với HĐLĐ, thời gian tối đa thông thường là bao nhiêu?"</t>
        </is>
      </c>
      <c r="F74" s="6" t="inlineStr">
        <is>
          <t>Không quá 60 ngày làm việc cộng dồn trong 01 năm, trừ trường hợp NLĐ đồng ý bằng văn bản cho thời gian dài hơn.</t>
        </is>
      </c>
      <c r="G74" s="6" t="inlineStr"/>
      <c r="H74" s="6" t="inlineStr">
        <is>
          <t>Lỗi API: chưa chạy</t>
        </is>
      </c>
      <c r="I74" s="6" t="inlineStr">
        <is>
          <t>Open (candidate)</t>
        </is>
      </c>
    </row>
    <row r="75">
      <c r="A75" s="6" t="inlineStr">
        <is>
          <t>D-074</t>
        </is>
      </c>
      <c r="B75" s="6" t="inlineStr">
        <is>
          <t>LAW_E_010</t>
        </is>
      </c>
      <c r="C75" s="6" t="inlineStr">
        <is>
          <t>High</t>
        </is>
      </c>
      <c r="D75" s="6" t="inlineStr">
        <is>
          <t>Lỗi API</t>
        </is>
      </c>
      <c r="E75" s="6" t="inlineStr">
        <is>
          <t>1. Mở RAG Lab / POST /api/rag/chat
2. Query: "NLĐ làm HĐLĐ không xác định thời hạn muốn đơn phương chấm dứt hợp đồng thông thường phải báo trước bao lâu?"</t>
        </is>
      </c>
      <c r="F75" s="6" t="inlineStr">
        <is>
          <t>Ít nhất 45 ngày, trừ các trường hợp luật cho phép không cần báo trước hoặc ngành/nghề đặc thù có quy định riêng.</t>
        </is>
      </c>
      <c r="G75" s="6" t="inlineStr"/>
      <c r="H75" s="6" t="inlineStr">
        <is>
          <t>Lỗi API: chưa chạy</t>
        </is>
      </c>
      <c r="I75" s="6" t="inlineStr">
        <is>
          <t>Open (candidate)</t>
        </is>
      </c>
    </row>
    <row r="76">
      <c r="A76" s="6" t="inlineStr">
        <is>
          <t>D-075</t>
        </is>
      </c>
      <c r="B76" s="6" t="inlineStr">
        <is>
          <t>LAW_E_011</t>
        </is>
      </c>
      <c r="C76" s="6" t="inlineStr">
        <is>
          <t>High</t>
        </is>
      </c>
      <c r="D76" s="6" t="inlineStr">
        <is>
          <t>Lỗi API</t>
        </is>
      </c>
      <c r="E76" s="6" t="inlineStr">
        <is>
          <t>1. Mở RAG Lab / POST /api/rag/chat
2. Query: "NLĐ làm HĐLĐ xác định thời hạn từ 12 đến 36 tháng muốn nghỉ thông thường phải báo trước bao lâu?"</t>
        </is>
      </c>
      <c r="F76" s="6" t="inlineStr">
        <is>
          <t>Ít nhất 30 ngày.</t>
        </is>
      </c>
      <c r="G76" s="6" t="inlineStr"/>
      <c r="H76" s="6" t="inlineStr">
        <is>
          <t>Lỗi API: chưa chạy</t>
        </is>
      </c>
      <c r="I76" s="6" t="inlineStr">
        <is>
          <t>Open (candidate)</t>
        </is>
      </c>
    </row>
    <row r="77">
      <c r="A77" s="6" t="inlineStr">
        <is>
          <t>D-076</t>
        </is>
      </c>
      <c r="B77" s="6" t="inlineStr">
        <is>
          <t>LAW_E_012</t>
        </is>
      </c>
      <c r="C77" s="6" t="inlineStr">
        <is>
          <t>High</t>
        </is>
      </c>
      <c r="D77" s="6" t="inlineStr">
        <is>
          <t>Lỗi API</t>
        </is>
      </c>
      <c r="E77" s="6" t="inlineStr">
        <is>
          <t>1. Mở RAG Lab / POST /api/rag/chat
2. Query: "Trợ cấp thôi việc được tính theo mức nào cho mỗi năm làm việc đủ điều kiện?"</t>
        </is>
      </c>
      <c r="F77" s="6" t="inlineStr">
        <is>
          <t>Mỗi năm làm việc được trợ cấp một nửa tháng tiền lương, theo điều kiện và cách xác định thời gian của Điều 46.</t>
        </is>
      </c>
      <c r="G77" s="6" t="inlineStr"/>
      <c r="H77" s="6" t="inlineStr">
        <is>
          <t>Lỗi API: chưa chạy</t>
        </is>
      </c>
      <c r="I77" s="6" t="inlineStr">
        <is>
          <t>Open (candidate)</t>
        </is>
      </c>
    </row>
    <row r="78">
      <c r="A78" s="6" t="inlineStr">
        <is>
          <t>D-077</t>
        </is>
      </c>
      <c r="B78" s="6" t="inlineStr">
        <is>
          <t>LAW_E_013</t>
        </is>
      </c>
      <c r="C78" s="6" t="inlineStr">
        <is>
          <t>High</t>
        </is>
      </c>
      <c r="D78" s="6" t="inlineStr">
        <is>
          <t>Lỗi API</t>
        </is>
      </c>
      <c r="E78" s="6" t="inlineStr">
        <is>
          <t>1. Mở RAG Lab / POST /api/rag/chat
2. Query: "Trợ cấp mất việc làm được tính thế nào theo Điều 47?"</t>
        </is>
      </c>
      <c r="F78" s="6" t="inlineStr">
        <is>
          <t>Cứ mỗi năm làm việc trả 01 tháng tiền lương nhưng ít nhất bằng 02 tháng tiền lương, nếu thuộc trường hợp và điều kiện của Điều 47.</t>
        </is>
      </c>
      <c r="G78" s="6" t="inlineStr"/>
      <c r="H78" s="6" t="inlineStr">
        <is>
          <t>Lỗi API: chưa chạy</t>
        </is>
      </c>
      <c r="I78" s="6" t="inlineStr">
        <is>
          <t>Open (candidate)</t>
        </is>
      </c>
    </row>
    <row r="79">
      <c r="A79" s="6" t="inlineStr">
        <is>
          <t>D-078</t>
        </is>
      </c>
      <c r="B79" s="6" t="inlineStr">
        <is>
          <t>LAW_E_014</t>
        </is>
      </c>
      <c r="C79" s="6" t="inlineStr">
        <is>
          <t>High</t>
        </is>
      </c>
      <c r="D79" s="6" t="inlineStr">
        <is>
          <t>Lỗi API</t>
        </is>
      </c>
      <c r="E79" s="6" t="inlineStr">
        <is>
          <t>1. Mở RAG Lab / POST /api/rag/chat
2. Query: "Tiền lương theo Điều 90 bao gồm những thành phần nào?"</t>
        </is>
      </c>
      <c r="F79" s="6" t="inlineStr">
        <is>
          <t>Gồm mức lương theo công việc hoặc chức danh, phụ cấp lương và các khoản bổ sung khác.</t>
        </is>
      </c>
      <c r="G79" s="6" t="inlineStr"/>
      <c r="H79" s="6" t="inlineStr">
        <is>
          <t>Lỗi API: chưa chạy</t>
        </is>
      </c>
      <c r="I79" s="6" t="inlineStr">
        <is>
          <t>Open (candidate)</t>
        </is>
      </c>
    </row>
    <row r="80">
      <c r="A80" s="6" t="inlineStr">
        <is>
          <t>D-079</t>
        </is>
      </c>
      <c r="B80" s="6" t="inlineStr">
        <is>
          <t>LAW_E_015</t>
        </is>
      </c>
      <c r="C80" s="6" t="inlineStr">
        <is>
          <t>High</t>
        </is>
      </c>
      <c r="D80" s="6" t="inlineStr">
        <is>
          <t>Lỗi API</t>
        </is>
      </c>
      <c r="E80" s="6" t="inlineStr">
        <is>
          <t>1. Mở RAG Lab / POST /api/rag/chat
2. Query: "Một NLĐ làm thêm vào ngày nghỉ hằng tuần. Mức trả tối thiểu theo Điều 98 là bao nhiêu?"</t>
        </is>
      </c>
      <c r="F80" s="6" t="inlineStr">
        <is>
          <t>Ít nhất bằng 200% đơn giá tiền lương hoặc tiền lương thực trả theo công việc đang làm.</t>
        </is>
      </c>
      <c r="G80" s="6" t="inlineStr"/>
      <c r="H80" s="6" t="inlineStr">
        <is>
          <t>Lỗi API: chưa chạy</t>
        </is>
      </c>
      <c r="I80" s="6" t="inlineStr">
        <is>
          <t>Open (candidate)</t>
        </is>
      </c>
    </row>
    <row r="81">
      <c r="A81" s="6" t="inlineStr">
        <is>
          <t>D-080</t>
        </is>
      </c>
      <c r="B81" s="6" t="inlineStr">
        <is>
          <t>LAW_E_016</t>
        </is>
      </c>
      <c r="C81" s="6" t="inlineStr">
        <is>
          <t>High</t>
        </is>
      </c>
      <c r="D81" s="6" t="inlineStr">
        <is>
          <t>Lỗi API</t>
        </is>
      </c>
      <c r="E81" s="6" t="inlineStr">
        <is>
          <t>1. Mở RAG Lab / POST /api/rag/chat
2. Query: "Một NLĐ làm thêm vào ngày lễ, tết. Điều 98 quy định mức tối thiểu nào?"</t>
        </is>
      </c>
      <c r="F81" s="6" t="inlineStr">
        <is>
          <t>Ít nhất bằng 300%, chưa kể tiền lương ngày lễ, tết/ngày nghỉ có hưởng lương đối với NLĐ hưởng lương ngày.</t>
        </is>
      </c>
      <c r="G81" s="6" t="inlineStr"/>
      <c r="H81" s="6" t="inlineStr">
        <is>
          <t>Lỗi API: chưa chạy</t>
        </is>
      </c>
      <c r="I81" s="6" t="inlineStr">
        <is>
          <t>Open (candidate)</t>
        </is>
      </c>
    </row>
    <row r="82">
      <c r="A82" s="6" t="inlineStr">
        <is>
          <t>D-081</t>
        </is>
      </c>
      <c r="B82" s="6" t="inlineStr">
        <is>
          <t>LAW_E_017</t>
        </is>
      </c>
      <c r="C82" s="6" t="inlineStr">
        <is>
          <t>High</t>
        </is>
      </c>
      <c r="D82" s="6" t="inlineStr">
        <is>
          <t>Lỗi API</t>
        </is>
      </c>
      <c r="E82" s="6" t="inlineStr">
        <is>
          <t>1. Mở RAG Lab / POST /api/rag/chat
2. Query: "Doanh nghiệp bố trí 10 giờ/ngày theo tuần. Điều này có thể phù hợp không và giới hạn tuần là bao nhiêu?"</t>
        </is>
      </c>
      <c r="F82" s="6" t="inlineStr">
        <is>
          <t>Có thể, nếu NSDLĐ quy định thời giờ làm việc theo tuần và thông báo cho NLĐ; khi đó thời giờ bình thường không quá 10 giờ/ngày và không quá 48 giờ/tuần.</t>
        </is>
      </c>
      <c r="G82" s="6" t="inlineStr"/>
      <c r="H82" s="6" t="inlineStr">
        <is>
          <t>Lỗi API: chưa chạy</t>
        </is>
      </c>
      <c r="I82" s="6" t="inlineStr">
        <is>
          <t>Open (candidate)</t>
        </is>
      </c>
    </row>
    <row r="83">
      <c r="A83" s="6" t="inlineStr">
        <is>
          <t>D-082</t>
        </is>
      </c>
      <c r="B83" s="6" t="inlineStr">
        <is>
          <t>LAW_E_018</t>
        </is>
      </c>
      <c r="C83" s="6" t="inlineStr">
        <is>
          <t>High</t>
        </is>
      </c>
      <c r="D83" s="6" t="inlineStr">
        <is>
          <t>Lỗi API</t>
        </is>
      </c>
      <c r="E83" s="6" t="inlineStr">
        <is>
          <t>1. Mở RAG Lab / POST /api/rag/chat
2. Query: "Một NLĐ làm đủ 12 tháng hỏi về nghỉ hằng năm. RAG cần căn cứ điều nào và yếu tố nào để xác định số ngày nghỉ?"</t>
        </is>
      </c>
      <c r="F83" s="6" t="inlineStr">
        <is>
          <t>Căn cứ Điều 113. Số ngày nghỉ hưởng nguyên lương phụ thuộc nhóm điều kiện/công việc của NLĐ theo các mức được điều này quy định.</t>
        </is>
      </c>
      <c r="G83" s="6" t="inlineStr"/>
      <c r="H83" s="6" t="inlineStr">
        <is>
          <t>Lỗi API: chưa chạy</t>
        </is>
      </c>
      <c r="I83" s="6" t="inlineStr">
        <is>
          <t>Open (candidate)</t>
        </is>
      </c>
    </row>
    <row r="84">
      <c r="A84" s="6" t="inlineStr">
        <is>
          <t>D-083</t>
        </is>
      </c>
      <c r="B84" s="6" t="inlineStr">
        <is>
          <t>LAW_E_019</t>
        </is>
      </c>
      <c r="C84" s="6" t="inlineStr">
        <is>
          <t>High</t>
        </is>
      </c>
      <c r="D84" s="6" t="inlineStr">
        <is>
          <t>Lỗi API</t>
        </is>
      </c>
      <c r="E84" s="6" t="inlineStr">
        <is>
          <t>1. Mở RAG Lab / POST /api/rag/chat
2. Query: "Khi xử lý kỷ luật lao động, NSDLĐ phải bảo đảm những nguyên tắc tố tụng cơ bản nào?"</t>
        </is>
      </c>
      <c r="F84" s="6" t="inlineStr">
        <is>
          <t>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is>
      </c>
      <c r="G84" s="6" t="inlineStr"/>
      <c r="H84" s="6" t="inlineStr">
        <is>
          <t>Lỗi API: chưa chạy</t>
        </is>
      </c>
      <c r="I84" s="6" t="inlineStr">
        <is>
          <t>Open (candidate)</t>
        </is>
      </c>
    </row>
    <row r="85">
      <c r="A85" s="6" t="inlineStr">
        <is>
          <t>D-084</t>
        </is>
      </c>
      <c r="B85" s="6" t="inlineStr">
        <is>
          <t>LAW_E_020</t>
        </is>
      </c>
      <c r="C85" s="6" t="inlineStr">
        <is>
          <t>High</t>
        </is>
      </c>
      <c r="D85" s="6" t="inlineStr">
        <is>
          <t>Lỗi API</t>
        </is>
      </c>
      <c r="E85" s="6" t="inlineStr">
        <is>
          <t>1. Mở RAG Lab / POST /api/rag/chat
2. Query: "NLĐ trộm cắp hoặc sử dụng ma túy tại nơi làm việc có thể bị áp dụng hình thức kỷ luật nào theo Điều 125?"</t>
        </is>
      </c>
      <c r="F85" s="6" t="inlineStr">
        <is>
          <t>Có thể bị áp dụng hình thức xử lý kỷ luật sa thải theo các trường hợp Điều 125 quy định.</t>
        </is>
      </c>
      <c r="G85" s="6" t="inlineStr"/>
      <c r="H85" s="6" t="inlineStr">
        <is>
          <t>Lỗi API: chưa chạy</t>
        </is>
      </c>
      <c r="I85" s="6" t="inlineStr">
        <is>
          <t>Open (candidate)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10" customWidth="1" min="2" max="2"/>
  </cols>
  <sheetData>
    <row r="1">
      <c r="A1" s="2" t="inlineStr">
        <is>
          <t>Item</t>
        </is>
      </c>
      <c r="B1" s="2" t="inlineStr">
        <is>
          <t>Value</t>
        </is>
      </c>
    </row>
    <row r="2">
      <c r="A2" t="inlineStr">
        <is>
          <t>Report generated</t>
        </is>
      </c>
      <c r="B2" t="inlineStr">
        <is>
          <t>2026-10-20T14:11:59</t>
        </is>
      </c>
    </row>
    <row r="3">
      <c r="A3" t="inlineStr">
        <is>
          <t>Test execution</t>
        </is>
      </c>
      <c r="B3" t="inlineStr">
        <is>
          <t>2026-10-20T13:24:04 → 2026-10-20T13:39:37</t>
        </is>
      </c>
    </row>
    <row r="4">
      <c r="A4" t="inlineStr">
        <is>
          <t>Test file</t>
        </is>
      </c>
      <c r="B4" t="inlineStr">
        <is>
          <t>TC_LuatLD.xlsx (sha256 195630469b6ee5e2)</t>
        </is>
      </c>
    </row>
    <row r="5">
      <c r="A5" t="inlineStr">
        <is>
          <t>Test cases</t>
        </is>
      </c>
      <c r="B5" t="n">
        <v>100</v>
      </c>
    </row>
    <row r="6">
      <c r="A6" t="inlineStr">
        <is>
          <t>API</t>
        </is>
      </c>
      <c r="B6" t="inlineStr">
        <is>
          <t>http://127.0.0.1:8001</t>
        </is>
      </c>
    </row>
    <row r="7">
      <c r="A7" t="inlineStr">
        <is>
          <t>LLM provider override</t>
        </is>
      </c>
      <c r="B7" t="inlineStr">
        <is>
          <t>(server default)</t>
        </is>
      </c>
    </row>
    <row r="8">
      <c r="A8" t="inlineStr">
        <is>
          <t>LLM models used (from responses)</t>
        </is>
      </c>
      <c r="B8" t="inlineStr">
        <is>
          <t>(none): 82; GeminiProvider: 17; (no LLM call: early exit): 1</t>
        </is>
      </c>
    </row>
    <row r="9">
      <c r="A9" t="inlineStr">
        <is>
          <t>Git commit</t>
        </is>
      </c>
      <c r="B9" t="inlineStr">
        <is>
          <t>b1b412d + 30 uncommitted file(s) in src/, frontend/src, evaluation/</t>
        </is>
      </c>
    </row>
    <row r="10">
      <c r="A10" t="inlineStr">
        <is>
          <t>Indexed documents</t>
        </is>
      </c>
    </row>
    <row r="11">
      <c r="A11" t="inlineStr">
        <is>
          <t>Pages / elements / chunks / vectors</t>
        </is>
      </c>
      <c r="B11" t="inlineStr">
        <is>
          <t>None / None / None / None</t>
        </is>
      </c>
    </row>
    <row r="12">
      <c r="A12" t="inlineStr">
        <is>
          <t>Embedding model / device</t>
        </is>
      </c>
      <c r="B12" t="inlineStr">
        <is>
          <t>None / None</t>
        </is>
      </c>
    </row>
    <row r="13">
      <c r="A13" t="inlineStr">
        <is>
          <t>config EMBEDDING_MODEL</t>
        </is>
      </c>
      <c r="B13" t="inlineStr">
        <is>
          <t>(default)</t>
        </is>
      </c>
    </row>
    <row r="14">
      <c r="A14" t="inlineStr">
        <is>
          <t>config RERANKER_MODEL</t>
        </is>
      </c>
      <c r="B14" t="inlineStr">
        <is>
          <t>(default)</t>
        </is>
      </c>
    </row>
    <row r="15">
      <c r="A15" t="inlineStr">
        <is>
          <t>config RETRIEVAL_TOP_K</t>
        </is>
      </c>
      <c r="B15" t="inlineStr">
        <is>
          <t>10</t>
        </is>
      </c>
    </row>
    <row r="16">
      <c r="A16" t="inlineStr">
        <is>
          <t>config RERANK_TOP_N</t>
        </is>
      </c>
      <c r="B16" t="inlineStr">
        <is>
          <t>(default)</t>
        </is>
      </c>
    </row>
    <row r="17">
      <c r="A17" t="inlineStr">
        <is>
          <t>config RERANK_THRESHOLD</t>
        </is>
      </c>
      <c r="B17" t="inlineStr">
        <is>
          <t>(default)</t>
        </is>
      </c>
    </row>
    <row r="18">
      <c r="A18" t="inlineStr">
        <is>
          <t>config MAX_CONTEXT_TOKENS</t>
        </is>
      </c>
      <c r="B18" t="inlineStr">
        <is>
          <t>(default)</t>
        </is>
      </c>
    </row>
    <row r="19">
      <c r="A19" t="inlineStr">
        <is>
          <t>config LLM_PROVIDER</t>
        </is>
      </c>
      <c r="B19" t="inlineStr">
        <is>
          <t>gemini</t>
        </is>
      </c>
    </row>
    <row r="20">
      <c r="A20" t="inlineStr">
        <is>
          <t>config LLM_MODEL</t>
        </is>
      </c>
      <c r="B20" t="inlineStr">
        <is>
          <t>gemini-3.6-flash</t>
        </is>
      </c>
    </row>
    <row r="21">
      <c r="A21" t="inlineStr">
        <is>
          <t>config GEMINI_MODEL</t>
        </is>
      </c>
      <c r="B21" t="inlineStr">
        <is>
          <t>gemini-3.5-flash-lite</t>
        </is>
      </c>
    </row>
    <row r="22">
      <c r="A22" t="inlineStr">
        <is>
          <t>config OPENAI_MODEL</t>
        </is>
      </c>
      <c r="B22" t="inlineStr">
        <is>
          <t>(default)</t>
        </is>
      </c>
    </row>
    <row r="23">
      <c r="A23" t="inlineStr">
        <is>
          <t>config OLLAMA_MODEL</t>
        </is>
      </c>
      <c r="B23" t="inlineStr">
        <is>
          <t>(default)</t>
        </is>
      </c>
    </row>
    <row r="24">
      <c r="A24" t="inlineStr">
        <is>
          <t>config PREFERRED_SOURCES</t>
        </is>
      </c>
      <c r="B24" t="inlineStr">
        <is>
          <t>Văn-bản-hợp-nhất-18-VBHN-VPQH.pdf</t>
        </is>
      </c>
    </row>
    <row r="25">
      <c r="A25" t="inlineStr">
        <is>
          <t>config TORCH_DEVICE</t>
        </is>
      </c>
      <c r="B25" t="inlineStr">
        <is>
          <t>(default)</t>
        </is>
      </c>
    </row>
    <row r="26">
      <c r="A26" t="inlineStr">
        <is>
          <t>Group → document</t>
        </is>
      </c>
      <c r="B26" t="inlineStr">
        <is>
          <t>A: giao trinh Luat lao dong CB 2005 (1).pdf; B: so-tay-kien-thuc-phap-luat-lao-dong-cdi.pdf; C: luu-ban-nhap-tu-dong-3-4.pdf; D: ILO-VCCI_Labour-Law-Guide-Book-V04-Final.pdf; E: Văn-bản-hợp-nhất-18-VBHN-VPQH.pdf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2026-10-20T07:11:59Z</dcterms:created>
  <dcterms:modified xmlns:dcterms="http://purl.org/dc/terms/" xmlns:xsi="http://www.w3.org/2001/XMLSchema-instance" xsi:type="dcterms:W3CDTF">2026-10-20T07:11:59Z</dcterms:modified>
</cp:coreProperties>
</file>